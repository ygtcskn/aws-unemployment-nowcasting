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Comparison" sheetId="1" state="visible" r:id="rId1"/>
    <sheet name="Predictions" sheetId="2" state="visible" r:id="rId2"/>
  </sheets>
  <definedNames>
    <definedName name="_xlnm._FilterDatabase" localSheetId="0" hidden="1">'Model Comparison'!$A$6:$G$10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5F6B76"/>
      <sz val="10"/>
    </font>
    <font>
      <name val="Aptos"/>
      <b val="1"/>
      <color rgb="00FFFFFF"/>
      <sz val="10"/>
    </font>
    <font>
      <name val="Aptos"/>
      <color rgb="001F2933"/>
      <sz val="10"/>
    </font>
    <font>
      <name val="Aptos"/>
      <color rgb="001F2933"/>
      <sz val="11"/>
    </font>
  </fonts>
  <fills count="6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2F7FA"/>
      </patternFill>
    </fill>
    <fill>
      <patternFill patternType="solid">
        <fgColor rgb="002E6F9E"/>
      </patternFill>
    </fill>
    <fill>
      <patternFill patternType="solid">
        <fgColor rgb="00DCEAF4"/>
      </patternFill>
    </fill>
  </fills>
  <borders count="3">
    <border>
      <left/>
      <right/>
      <top/>
      <bottom/>
      <diagonal/>
    </border>
    <border>
      <bottom style="medium">
        <color rgb="0016324F"/>
      </bottom>
    </border>
    <border>
      <bottom style="thin">
        <color rgb="00CBD5D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1" fontId="5" fillId="0" borderId="2" applyAlignment="1" pivotButton="0" quotePrefix="0" xfId="0">
      <alignment horizontal="center"/>
    </xf>
    <xf numFmtId="0" fontId="5" fillId="0" borderId="2" applyAlignment="1" pivotButton="0" quotePrefix="0" xfId="0">
      <alignment vertical="center"/>
    </xf>
    <xf numFmtId="166" fontId="5" fillId="0" borderId="2" applyAlignment="1" pivotButton="0" quotePrefix="0" xfId="0">
      <alignment horizontal="right"/>
    </xf>
    <xf numFmtId="10" fontId="5" fillId="0" borderId="2" applyAlignment="1" pivotButton="0" quotePrefix="0" xfId="0">
      <alignment horizontal="right"/>
    </xf>
    <xf numFmtId="3" fontId="5" fillId="0" borderId="2" applyAlignment="1" pivotButton="0" quotePrefix="0" xfId="0">
      <alignment horizontal="right"/>
    </xf>
    <xf numFmtId="0" fontId="2" fillId="3" borderId="0" applyAlignment="1" pivotButton="0" quotePrefix="0" xfId="0">
      <alignment vertical="center" wrapText="1"/>
    </xf>
    <xf numFmtId="165" fontId="4" fillId="0" borderId="0" pivotButton="0" quotePrefix="0" xfId="0"/>
    <xf numFmtId="0" fontId="4" fillId="0" borderId="0" pivotButton="0" quotePrefix="0" xfId="0"/>
    <xf numFmtId="166" fontId="4" fillId="0" borderId="0" pivotButton="0" quotePrefix="0" xfId="0"/>
    <xf numFmtId="1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PredictionsTable" displayName="PredictionsTable" ref="A4:K868" headerRowCount="1">
  <autoFilter ref="A4:K868"/>
  <tableColumns count="11">
    <tableColumn id="1" name="Date"/>
    <tableColumn id="2" name="Country"/>
    <tableColumn id="3" name="Model"/>
    <tableColumn id="4" name="Actual Δu"/>
    <tableColumn id="5" name="Forecast Δu"/>
    <tableColumn id="6" name="Unemployment rate t-1"/>
    <tableColumn id="7" name="Actual unemployment rate"/>
    <tableColumn id="8" name="Forecast unemployment rate"/>
    <tableColumn id="9" name="Absolute error"/>
    <tableColumn id="10" name="Squared error"/>
    <tableColumn id="11" name="Absolute % error (level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0016324F"/>
    <outlinePr summaryBelow="1" summaryRight="1"/>
    <pageSetUpPr/>
  </sheetPr>
  <dimension ref="A1:G1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4" customWidth="1" min="4" max="4"/>
    <col width="14" customWidth="1" min="5" max="5"/>
    <col width="10" customWidth="1" min="6" max="6"/>
    <col width="20" customWidth="1" min="7" max="7"/>
  </cols>
  <sheetData>
    <row r="1" ht="32" customHeight="1">
      <c r="A1" s="1" t="inlineStr">
        <is>
          <t>Monthly Unemployment Nowcasting: Model Comparison</t>
        </is>
      </c>
    </row>
    <row r="2" ht="24" customHeight="1">
      <c r="A2" s="2" t="inlineStr">
        <is>
          <t>Common out-of-sample country-months. Lower values are better for all three error measures.</t>
        </is>
      </c>
    </row>
    <row r="4" ht="32" customHeight="1">
      <c r="A4" s="3" t="inlineStr">
        <is>
          <t>RMSE and MAE evaluate the forecasted monthly change (percentage points). MAPE evaluates the reconstructed unemployment-rate level, avoiding division by zero when Δu = 0.</t>
        </is>
      </c>
    </row>
    <row r="6" ht="30" customHeight="1">
      <c r="A6" s="4" t="inlineStr">
        <is>
          <t>Rank</t>
        </is>
      </c>
      <c r="B6" s="4" t="inlineStr">
        <is>
          <t>Model</t>
        </is>
      </c>
      <c r="C6" s="4" t="inlineStr">
        <is>
          <t>RMSE</t>
        </is>
      </c>
      <c r="D6" s="4" t="inlineStr">
        <is>
          <t>MAE</t>
        </is>
      </c>
      <c r="E6" s="4" t="inlineStr">
        <is>
          <t>MAPE</t>
        </is>
      </c>
      <c r="F6" s="4" t="inlineStr">
        <is>
          <t>N</t>
        </is>
      </c>
      <c r="G6" s="4" t="inlineStr">
        <is>
          <t>Evaluation basis</t>
        </is>
      </c>
    </row>
    <row r="7" ht="23" customHeight="1">
      <c r="A7" s="5">
        <f>RANK(C7,$C$7:$C$10,1)</f>
        <v/>
      </c>
      <c r="B7" s="6" t="inlineStr">
        <is>
          <t>Random walk</t>
        </is>
      </c>
      <c r="C7" s="7">
        <f>SQRT(AVERAGE('Predictions'!$J$5:$J$220))</f>
        <v/>
      </c>
      <c r="D7" s="7">
        <f>AVERAGE('Predictions'!$I$5:$I$220)</f>
        <v/>
      </c>
      <c r="E7" s="8">
        <f>AVERAGE('Predictions'!$K$5:$K$220)</f>
        <v/>
      </c>
      <c r="F7" s="9">
        <f>COUNT('Predictions'!$D$5:$D$220)</f>
        <v/>
      </c>
      <c r="G7" s="6" t="inlineStr">
        <is>
          <t>Common sample</t>
        </is>
      </c>
    </row>
    <row r="8" ht="23" customHeight="1">
      <c r="A8" s="5">
        <f>RANK(C8,$C$7:$C$10,1)</f>
        <v/>
      </c>
      <c r="B8" s="6" t="inlineStr">
        <is>
          <t>LightGBM</t>
        </is>
      </c>
      <c r="C8" s="7">
        <f>SQRT(AVERAGE('Predictions'!$J$221:$J$436))</f>
        <v/>
      </c>
      <c r="D8" s="7">
        <f>AVERAGE('Predictions'!$I$221:$I$436)</f>
        <v/>
      </c>
      <c r="E8" s="8">
        <f>AVERAGE('Predictions'!$K$221:$K$436)</f>
        <v/>
      </c>
      <c r="F8" s="9">
        <f>COUNT('Predictions'!$D$221:$D$436)</f>
        <v/>
      </c>
      <c r="G8" s="6" t="inlineStr">
        <is>
          <t>Common sample</t>
        </is>
      </c>
    </row>
    <row r="9" ht="23" customHeight="1">
      <c r="A9" s="5">
        <f>RANK(C9,$C$7:$C$10,1)</f>
        <v/>
      </c>
      <c r="B9" s="6" t="inlineStr">
        <is>
          <t>XGBoost</t>
        </is>
      </c>
      <c r="C9" s="7">
        <f>SQRT(AVERAGE('Predictions'!$J$437:$J$652))</f>
        <v/>
      </c>
      <c r="D9" s="7">
        <f>AVERAGE('Predictions'!$I$437:$I$652)</f>
        <v/>
      </c>
      <c r="E9" s="8">
        <f>AVERAGE('Predictions'!$K$437:$K$652)</f>
        <v/>
      </c>
      <c r="F9" s="9">
        <f>COUNT('Predictions'!$D$437:$D$652)</f>
        <v/>
      </c>
      <c r="G9" s="6" t="inlineStr">
        <is>
          <t>Common sample</t>
        </is>
      </c>
    </row>
    <row r="10" ht="23" customHeight="1">
      <c r="A10" s="5">
        <f>RANK(C10,$C$7:$C$10,1)</f>
        <v/>
      </c>
      <c r="B10" s="6" t="inlineStr">
        <is>
          <t>AR(1)</t>
        </is>
      </c>
      <c r="C10" s="7">
        <f>SQRT(AVERAGE('Predictions'!$J$653:$J$868))</f>
        <v/>
      </c>
      <c r="D10" s="7">
        <f>AVERAGE('Predictions'!$I$653:$I$868)</f>
        <v/>
      </c>
      <c r="E10" s="8">
        <f>AVERAGE('Predictions'!$K$653:$K$868)</f>
        <v/>
      </c>
      <c r="F10" s="9">
        <f>COUNT('Predictions'!$D$653:$D$868)</f>
        <v/>
      </c>
      <c r="G10" s="6" t="inlineStr">
        <is>
          <t>Common sample</t>
        </is>
      </c>
    </row>
  </sheetData>
  <autoFilter ref="A6:G10"/>
  <mergeCells count="3">
    <mergeCell ref="A2:G2"/>
    <mergeCell ref="A1:G1"/>
    <mergeCell ref="A4:G4"/>
  </mergeCells>
  <conditionalFormatting sqref="C7:C10">
    <cfRule type="colorScale" priority="1">
      <colorScale>
        <cfvo type="min"/>
        <cfvo type="percentile" val="50"/>
        <cfvo type="max"/>
        <color rgb="00DCEFE8"/>
        <color rgb="00FFF3CD"/>
        <color rgb="00F4CCCC"/>
      </colorScale>
    </cfRule>
  </conditionalFormatting>
  <conditionalFormatting sqref="D7:D10">
    <cfRule type="colorScale" priority="2">
      <colorScale>
        <cfvo type="min"/>
        <cfvo type="percentile" val="50"/>
        <cfvo type="max"/>
        <color rgb="00DCEFE8"/>
        <color rgb="00FFF3CD"/>
        <color rgb="00F4CCCC"/>
      </colorScale>
    </cfRule>
  </conditionalFormatting>
  <conditionalFormatting sqref="E7:E10">
    <cfRule type="colorScale" priority="3">
      <colorScale>
        <cfvo type="min"/>
        <cfvo type="percentile" val="50"/>
        <cfvo type="max"/>
        <color rgb="00DCEFE8"/>
        <color rgb="00FFF3CD"/>
        <color rgb="00F4CCCC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6F9E"/>
    <outlinePr summaryBelow="1" summaryRight="1"/>
    <pageSetUpPr/>
  </sheetPr>
  <dimension ref="A1:K868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3" customWidth="1" min="4" max="4"/>
    <col width="13" customWidth="1" min="5" max="5"/>
    <col width="19" customWidth="1" min="6" max="6"/>
    <col width="21" customWidth="1" min="7" max="7"/>
    <col width="22" customWidth="1" min="8" max="8"/>
    <col width="14" customWidth="1" min="9" max="9"/>
    <col width="14" customWidth="1" min="10" max="10"/>
    <col width="20" customWidth="1" min="11" max="11"/>
  </cols>
  <sheetData>
    <row r="1" ht="32" customHeight="1">
      <c r="A1" s="1" t="inlineStr">
        <is>
          <t>Common-Sample Forecast Data</t>
        </is>
      </c>
    </row>
    <row r="2" ht="32" customHeight="1">
      <c r="A2" s="10" t="inlineStr">
        <is>
          <t>Models forecast the monthly change in unemployment. Rate levels are reconstructed from the previous month's rate for a meaningful percentage error.</t>
        </is>
      </c>
    </row>
    <row r="4" ht="30" customHeight="1">
      <c r="A4" s="4" t="inlineStr">
        <is>
          <t>Date</t>
        </is>
      </c>
      <c r="B4" s="4" t="inlineStr">
        <is>
          <t>Country</t>
        </is>
      </c>
      <c r="C4" s="4" t="inlineStr">
        <is>
          <t>Model</t>
        </is>
      </c>
      <c r="D4" s="4" t="inlineStr">
        <is>
          <t>Actual Δu</t>
        </is>
      </c>
      <c r="E4" s="4" t="inlineStr">
        <is>
          <t>Forecast Δu</t>
        </is>
      </c>
      <c r="F4" s="4" t="inlineStr">
        <is>
          <t>Unemployment rate t-1</t>
        </is>
      </c>
      <c r="G4" s="4" t="inlineStr">
        <is>
          <t>Actual unemployment rate</t>
        </is>
      </c>
      <c r="H4" s="4" t="inlineStr">
        <is>
          <t>Forecast unemployment rate</t>
        </is>
      </c>
      <c r="I4" s="4" t="inlineStr">
        <is>
          <t>Absolute error</t>
        </is>
      </c>
      <c r="J4" s="4" t="inlineStr">
        <is>
          <t>Squared error</t>
        </is>
      </c>
      <c r="K4" s="4" t="inlineStr">
        <is>
          <t>Absolute % error (level)</t>
        </is>
      </c>
    </row>
    <row r="5">
      <c r="A5" s="11" t="n">
        <v>45322</v>
      </c>
      <c r="B5" s="12" t="inlineStr">
        <is>
          <t>AU</t>
        </is>
      </c>
      <c r="C5" s="12" t="inlineStr">
        <is>
          <t>Random walk</t>
        </is>
      </c>
      <c r="D5" s="13" t="n">
        <v>0.1054659999999998</v>
      </c>
      <c r="E5" s="13" t="n">
        <v>0</v>
      </c>
      <c r="F5" s="13" t="n">
        <v>3.987057</v>
      </c>
      <c r="G5" s="13">
        <f>D5+F5</f>
        <v/>
      </c>
      <c r="H5" s="13">
        <f>E5+F5</f>
        <v/>
      </c>
      <c r="I5" s="13">
        <f>ABS(D5-E5)</f>
        <v/>
      </c>
      <c r="J5" s="13">
        <f>(D5-E5)^2</f>
        <v/>
      </c>
      <c r="K5" s="14">
        <f>IF(ABS(G5)&lt;=1E-8,"",ABS((G5-H5)/G5))</f>
        <v/>
      </c>
    </row>
    <row r="6">
      <c r="A6" s="11" t="n">
        <v>45322</v>
      </c>
      <c r="B6" s="12" t="inlineStr">
        <is>
          <t>CA</t>
        </is>
      </c>
      <c r="C6" s="12" t="inlineStr">
        <is>
          <t>Random walk</t>
        </is>
      </c>
      <c r="D6" s="13" t="n">
        <v>-0.0999999999999996</v>
      </c>
      <c r="E6" s="13" t="n">
        <v>0</v>
      </c>
      <c r="F6" s="13" t="n">
        <v>5.8</v>
      </c>
      <c r="G6" s="13">
        <f>D6+F6</f>
        <v/>
      </c>
      <c r="H6" s="13">
        <f>E6+F6</f>
        <v/>
      </c>
      <c r="I6" s="13">
        <f>ABS(D6-E6)</f>
        <v/>
      </c>
      <c r="J6" s="13">
        <f>(D6-E6)^2</f>
        <v/>
      </c>
      <c r="K6" s="14">
        <f>IF(ABS(G6)&lt;=1E-8,"",ABS((G6-H6)/G6))</f>
        <v/>
      </c>
    </row>
    <row r="7">
      <c r="A7" s="11" t="n">
        <v>45322</v>
      </c>
      <c r="B7" s="12" t="inlineStr">
        <is>
          <t>DE</t>
        </is>
      </c>
      <c r="C7" s="12" t="inlineStr">
        <is>
          <t>Random walk</t>
        </is>
      </c>
      <c r="D7" s="13" t="n">
        <v>0</v>
      </c>
      <c r="E7" s="13" t="n">
        <v>0</v>
      </c>
      <c r="F7" s="13" t="n">
        <v>3.2</v>
      </c>
      <c r="G7" s="13">
        <f>D7+F7</f>
        <v/>
      </c>
      <c r="H7" s="13">
        <f>E7+F7</f>
        <v/>
      </c>
      <c r="I7" s="13">
        <f>ABS(D7-E7)</f>
        <v/>
      </c>
      <c r="J7" s="13">
        <f>(D7-E7)^2</f>
        <v/>
      </c>
      <c r="K7" s="14">
        <f>IF(ABS(G7)&lt;=1E-8,"",ABS((G7-H7)/G7))</f>
        <v/>
      </c>
    </row>
    <row r="8">
      <c r="A8" s="11" t="n">
        <v>45322</v>
      </c>
      <c r="B8" s="12" t="inlineStr">
        <is>
          <t>FR</t>
        </is>
      </c>
      <c r="C8" s="12" t="inlineStr">
        <is>
          <t>Random walk</t>
        </is>
      </c>
      <c r="D8" s="13" t="n">
        <v>0</v>
      </c>
      <c r="E8" s="13" t="n">
        <v>0</v>
      </c>
      <c r="F8" s="13" t="n">
        <v>7.6</v>
      </c>
      <c r="G8" s="13">
        <f>D8+F8</f>
        <v/>
      </c>
      <c r="H8" s="13">
        <f>E8+F8</f>
        <v/>
      </c>
      <c r="I8" s="13">
        <f>ABS(D8-E8)</f>
        <v/>
      </c>
      <c r="J8" s="13">
        <f>(D8-E8)^2</f>
        <v/>
      </c>
      <c r="K8" s="14">
        <f>IF(ABS(G8)&lt;=1E-8,"",ABS((G8-H8)/G8))</f>
        <v/>
      </c>
    </row>
    <row r="9">
      <c r="A9" s="11" t="n">
        <v>45322</v>
      </c>
      <c r="B9" s="12" t="inlineStr">
        <is>
          <t>GB</t>
        </is>
      </c>
      <c r="C9" s="12" t="inlineStr">
        <is>
          <t>Random walk</t>
        </is>
      </c>
      <c r="D9" s="13" t="n">
        <v>0.1000000000000005</v>
      </c>
      <c r="E9" s="13" t="n">
        <v>0</v>
      </c>
      <c r="F9" s="13" t="n">
        <v>4.1</v>
      </c>
      <c r="G9" s="13">
        <f>D9+F9</f>
        <v/>
      </c>
      <c r="H9" s="13">
        <f>E9+F9</f>
        <v/>
      </c>
      <c r="I9" s="13">
        <f>ABS(D9-E9)</f>
        <v/>
      </c>
      <c r="J9" s="13">
        <f>(D9-E9)^2</f>
        <v/>
      </c>
      <c r="K9" s="14">
        <f>IF(ABS(G9)&lt;=1E-8,"",ABS((G9-H9)/G9))</f>
        <v/>
      </c>
    </row>
    <row r="10">
      <c r="A10" s="11" t="n">
        <v>45322</v>
      </c>
      <c r="B10" s="12" t="inlineStr">
        <is>
          <t>IT</t>
        </is>
      </c>
      <c r="C10" s="12" t="inlineStr">
        <is>
          <t>Random walk</t>
        </is>
      </c>
      <c r="D10" s="13" t="n">
        <v>0</v>
      </c>
      <c r="E10" s="13" t="n">
        <v>0</v>
      </c>
      <c r="F10" s="13" t="n">
        <v>7.1</v>
      </c>
      <c r="G10" s="13">
        <f>D10+F10</f>
        <v/>
      </c>
      <c r="H10" s="13">
        <f>E10+F10</f>
        <v/>
      </c>
      <c r="I10" s="13">
        <f>ABS(D10-E10)</f>
        <v/>
      </c>
      <c r="J10" s="13">
        <f>(D10-E10)^2</f>
        <v/>
      </c>
      <c r="K10" s="14">
        <f>IF(ABS(G10)&lt;=1E-8,"",ABS((G10-H10)/G10))</f>
        <v/>
      </c>
    </row>
    <row r="11">
      <c r="A11" s="11" t="n">
        <v>45322</v>
      </c>
      <c r="B11" s="12" t="inlineStr">
        <is>
          <t>JP</t>
        </is>
      </c>
      <c r="C11" s="12" t="inlineStr">
        <is>
          <t>Random walk</t>
        </is>
      </c>
      <c r="D11" s="13" t="n">
        <v>0</v>
      </c>
      <c r="E11" s="13" t="n">
        <v>0</v>
      </c>
      <c r="F11" s="13" t="n">
        <v>2.5</v>
      </c>
      <c r="G11" s="13">
        <f>D11+F11</f>
        <v/>
      </c>
      <c r="H11" s="13">
        <f>E11+F11</f>
        <v/>
      </c>
      <c r="I11" s="13">
        <f>ABS(D11-E11)</f>
        <v/>
      </c>
      <c r="J11" s="13">
        <f>(D11-E11)^2</f>
        <v/>
      </c>
      <c r="K11" s="14">
        <f>IF(ABS(G11)&lt;=1E-8,"",ABS((G11-H11)/G11))</f>
        <v/>
      </c>
    </row>
    <row r="12">
      <c r="A12" s="11" t="n">
        <v>45322</v>
      </c>
      <c r="B12" s="12" t="inlineStr">
        <is>
          <t>KR</t>
        </is>
      </c>
      <c r="C12" s="12" t="inlineStr">
        <is>
          <t>Random walk</t>
        </is>
      </c>
      <c r="D12" s="13" t="n">
        <v>0</v>
      </c>
      <c r="E12" s="13" t="n">
        <v>0</v>
      </c>
      <c r="F12" s="13" t="n">
        <v>2.8</v>
      </c>
      <c r="G12" s="13">
        <f>D12+F12</f>
        <v/>
      </c>
      <c r="H12" s="13">
        <f>E12+F12</f>
        <v/>
      </c>
      <c r="I12" s="13">
        <f>ABS(D12-E12)</f>
        <v/>
      </c>
      <c r="J12" s="13">
        <f>(D12-E12)^2</f>
        <v/>
      </c>
      <c r="K12" s="14">
        <f>IF(ABS(G12)&lt;=1E-8,"",ABS((G12-H12)/G12))</f>
        <v/>
      </c>
    </row>
    <row r="13">
      <c r="A13" s="11" t="n">
        <v>45322</v>
      </c>
      <c r="B13" s="12" t="inlineStr">
        <is>
          <t>US</t>
        </is>
      </c>
      <c r="C13" s="12" t="inlineStr">
        <is>
          <t>Random walk</t>
        </is>
      </c>
      <c r="D13" s="13" t="n">
        <v>-0.0999999999999996</v>
      </c>
      <c r="E13" s="13" t="n">
        <v>0</v>
      </c>
      <c r="F13" s="13" t="n">
        <v>3.8</v>
      </c>
      <c r="G13" s="13">
        <f>D13+F13</f>
        <v/>
      </c>
      <c r="H13" s="13">
        <f>E13+F13</f>
        <v/>
      </c>
      <c r="I13" s="13">
        <f>ABS(D13-E13)</f>
        <v/>
      </c>
      <c r="J13" s="13">
        <f>(D13-E13)^2</f>
        <v/>
      </c>
      <c r="K13" s="14">
        <f>IF(ABS(G13)&lt;=1E-8,"",ABS((G13-H13)/G13))</f>
        <v/>
      </c>
    </row>
    <row r="14">
      <c r="A14" s="11" t="n">
        <v>45351</v>
      </c>
      <c r="B14" s="12" t="inlineStr">
        <is>
          <t>AU</t>
        </is>
      </c>
      <c r="C14" s="12" t="inlineStr">
        <is>
          <t>Random walk</t>
        </is>
      </c>
      <c r="D14" s="13" t="n">
        <v>-0.3511820000000001</v>
      </c>
      <c r="E14" s="13" t="n">
        <v>0</v>
      </c>
      <c r="F14" s="13" t="n">
        <v>4.092523</v>
      </c>
      <c r="G14" s="13">
        <f>D14+F14</f>
        <v/>
      </c>
      <c r="H14" s="13">
        <f>E14+F14</f>
        <v/>
      </c>
      <c r="I14" s="13">
        <f>ABS(D14-E14)</f>
        <v/>
      </c>
      <c r="J14" s="13">
        <f>(D14-E14)^2</f>
        <v/>
      </c>
      <c r="K14" s="14">
        <f>IF(ABS(G14)&lt;=1E-8,"",ABS((G14-H14)/G14))</f>
        <v/>
      </c>
    </row>
    <row r="15">
      <c r="A15" s="11" t="n">
        <v>45351</v>
      </c>
      <c r="B15" s="12" t="inlineStr">
        <is>
          <t>CA</t>
        </is>
      </c>
      <c r="C15" s="12" t="inlineStr">
        <is>
          <t>Random walk</t>
        </is>
      </c>
      <c r="D15" s="13" t="n">
        <v>0.2000000000000001</v>
      </c>
      <c r="E15" s="13" t="n">
        <v>0</v>
      </c>
      <c r="F15" s="13" t="n">
        <v>5.7</v>
      </c>
      <c r="G15" s="13">
        <f>D15+F15</f>
        <v/>
      </c>
      <c r="H15" s="13">
        <f>E15+F15</f>
        <v/>
      </c>
      <c r="I15" s="13">
        <f>ABS(D15-E15)</f>
        <v/>
      </c>
      <c r="J15" s="13">
        <f>(D15-E15)^2</f>
        <v/>
      </c>
      <c r="K15" s="14">
        <f>IF(ABS(G15)&lt;=1E-8,"",ABS((G15-H15)/G15))</f>
        <v/>
      </c>
    </row>
    <row r="16">
      <c r="A16" s="11" t="n">
        <v>45351</v>
      </c>
      <c r="B16" s="12" t="inlineStr">
        <is>
          <t>DE</t>
        </is>
      </c>
      <c r="C16" s="12" t="inlineStr">
        <is>
          <t>Random walk</t>
        </is>
      </c>
      <c r="D16" s="13" t="n">
        <v>0</v>
      </c>
      <c r="E16" s="13" t="n">
        <v>0</v>
      </c>
      <c r="F16" s="13" t="n">
        <v>3.2</v>
      </c>
      <c r="G16" s="13">
        <f>D16+F16</f>
        <v/>
      </c>
      <c r="H16" s="13">
        <f>E16+F16</f>
        <v/>
      </c>
      <c r="I16" s="13">
        <f>ABS(D16-E16)</f>
        <v/>
      </c>
      <c r="J16" s="13">
        <f>(D16-E16)^2</f>
        <v/>
      </c>
      <c r="K16" s="14">
        <f>IF(ABS(G16)&lt;=1E-8,"",ABS((G16-H16)/G16))</f>
        <v/>
      </c>
    </row>
    <row r="17">
      <c r="A17" s="11" t="n">
        <v>45351</v>
      </c>
      <c r="B17" s="12" t="inlineStr">
        <is>
          <t>FR</t>
        </is>
      </c>
      <c r="C17" s="12" t="inlineStr">
        <is>
          <t>Random walk</t>
        </is>
      </c>
      <c r="D17" s="13" t="n">
        <v>-0.0999999999999996</v>
      </c>
      <c r="E17" s="13" t="n">
        <v>0</v>
      </c>
      <c r="F17" s="13" t="n">
        <v>7.6</v>
      </c>
      <c r="G17" s="13">
        <f>D17+F17</f>
        <v/>
      </c>
      <c r="H17" s="13">
        <f>E17+F17</f>
        <v/>
      </c>
      <c r="I17" s="13">
        <f>ABS(D17-E17)</f>
        <v/>
      </c>
      <c r="J17" s="13">
        <f>(D17-E17)^2</f>
        <v/>
      </c>
      <c r="K17" s="14">
        <f>IF(ABS(G17)&lt;=1E-8,"",ABS((G17-H17)/G17))</f>
        <v/>
      </c>
    </row>
    <row r="18">
      <c r="A18" s="11" t="n">
        <v>45351</v>
      </c>
      <c r="B18" s="12" t="inlineStr">
        <is>
          <t>GB</t>
        </is>
      </c>
      <c r="C18" s="12" t="inlineStr">
        <is>
          <t>Random walk</t>
        </is>
      </c>
      <c r="D18" s="13" t="n">
        <v>0.0999999999999996</v>
      </c>
      <c r="E18" s="13" t="n">
        <v>0</v>
      </c>
      <c r="F18" s="13" t="n">
        <v>4.2</v>
      </c>
      <c r="G18" s="13">
        <f>D18+F18</f>
        <v/>
      </c>
      <c r="H18" s="13">
        <f>E18+F18</f>
        <v/>
      </c>
      <c r="I18" s="13">
        <f>ABS(D18-E18)</f>
        <v/>
      </c>
      <c r="J18" s="13">
        <f>(D18-E18)^2</f>
        <v/>
      </c>
      <c r="K18" s="14">
        <f>IF(ABS(G18)&lt;=1E-8,"",ABS((G18-H18)/G18))</f>
        <v/>
      </c>
    </row>
    <row r="19">
      <c r="A19" s="11" t="n">
        <v>45351</v>
      </c>
      <c r="B19" s="12" t="inlineStr">
        <is>
          <t>IT</t>
        </is>
      </c>
      <c r="C19" s="12" t="inlineStr">
        <is>
          <t>Random walk</t>
        </is>
      </c>
      <c r="D19" s="13" t="n">
        <v>0.2000000000000001</v>
      </c>
      <c r="E19" s="13" t="n">
        <v>0</v>
      </c>
      <c r="F19" s="13" t="n">
        <v>7.1</v>
      </c>
      <c r="G19" s="13">
        <f>D19+F19</f>
        <v/>
      </c>
      <c r="H19" s="13">
        <f>E19+F19</f>
        <v/>
      </c>
      <c r="I19" s="13">
        <f>ABS(D19-E19)</f>
        <v/>
      </c>
      <c r="J19" s="13">
        <f>(D19-E19)^2</f>
        <v/>
      </c>
      <c r="K19" s="14">
        <f>IF(ABS(G19)&lt;=1E-8,"",ABS((G19-H19)/G19))</f>
        <v/>
      </c>
    </row>
    <row r="20">
      <c r="A20" s="11" t="n">
        <v>45351</v>
      </c>
      <c r="B20" s="12" t="inlineStr">
        <is>
          <t>JP</t>
        </is>
      </c>
      <c r="C20" s="12" t="inlineStr">
        <is>
          <t>Random walk</t>
        </is>
      </c>
      <c r="D20" s="13" t="n">
        <v>0.1</v>
      </c>
      <c r="E20" s="13" t="n">
        <v>0</v>
      </c>
      <c r="F20" s="13" t="n">
        <v>2.5</v>
      </c>
      <c r="G20" s="13">
        <f>D20+F20</f>
        <v/>
      </c>
      <c r="H20" s="13">
        <f>E20+F20</f>
        <v/>
      </c>
      <c r="I20" s="13">
        <f>ABS(D20-E20)</f>
        <v/>
      </c>
      <c r="J20" s="13">
        <f>(D20-E20)^2</f>
        <v/>
      </c>
      <c r="K20" s="14">
        <f>IF(ABS(G20)&lt;=1E-8,"",ABS((G20-H20)/G20))</f>
        <v/>
      </c>
    </row>
    <row r="21">
      <c r="A21" s="11" t="n">
        <v>45351</v>
      </c>
      <c r="B21" s="12" t="inlineStr">
        <is>
          <t>KR</t>
        </is>
      </c>
      <c r="C21" s="12" t="inlineStr">
        <is>
          <t>Random walk</t>
        </is>
      </c>
      <c r="D21" s="13" t="n">
        <v>-0.0999999999999996</v>
      </c>
      <c r="E21" s="13" t="n">
        <v>0</v>
      </c>
      <c r="F21" s="13" t="n">
        <v>2.8</v>
      </c>
      <c r="G21" s="13">
        <f>D21+F21</f>
        <v/>
      </c>
      <c r="H21" s="13">
        <f>E21+F21</f>
        <v/>
      </c>
      <c r="I21" s="13">
        <f>ABS(D21-E21)</f>
        <v/>
      </c>
      <c r="J21" s="13">
        <f>(D21-E21)^2</f>
        <v/>
      </c>
      <c r="K21" s="14">
        <f>IF(ABS(G21)&lt;=1E-8,"",ABS((G21-H21)/G21))</f>
        <v/>
      </c>
    </row>
    <row r="22">
      <c r="A22" s="11" t="n">
        <v>45351</v>
      </c>
      <c r="B22" s="12" t="inlineStr">
        <is>
          <t>US</t>
        </is>
      </c>
      <c r="C22" s="12" t="inlineStr">
        <is>
          <t>Random walk</t>
        </is>
      </c>
      <c r="D22" s="13" t="n">
        <v>0.1999999999999997</v>
      </c>
      <c r="E22" s="13" t="n">
        <v>0</v>
      </c>
      <c r="F22" s="13" t="n">
        <v>3.7</v>
      </c>
      <c r="G22" s="13">
        <f>D22+F22</f>
        <v/>
      </c>
      <c r="H22" s="13">
        <f>E22+F22</f>
        <v/>
      </c>
      <c r="I22" s="13">
        <f>ABS(D22-E22)</f>
        <v/>
      </c>
      <c r="J22" s="13">
        <f>(D22-E22)^2</f>
        <v/>
      </c>
      <c r="K22" s="14">
        <f>IF(ABS(G22)&lt;=1E-8,"",ABS((G22-H22)/G22))</f>
        <v/>
      </c>
    </row>
    <row r="23">
      <c r="A23" s="11" t="n">
        <v>45382</v>
      </c>
      <c r="B23" s="12" t="inlineStr">
        <is>
          <t>AU</t>
        </is>
      </c>
      <c r="C23" s="12" t="inlineStr">
        <is>
          <t>Random walk</t>
        </is>
      </c>
      <c r="D23" s="13" t="n">
        <v>0.158709</v>
      </c>
      <c r="E23" s="13" t="n">
        <v>0</v>
      </c>
      <c r="F23" s="13" t="n">
        <v>3.741341</v>
      </c>
      <c r="G23" s="13">
        <f>D23+F23</f>
        <v/>
      </c>
      <c r="H23" s="13">
        <f>E23+F23</f>
        <v/>
      </c>
      <c r="I23" s="13">
        <f>ABS(D23-E23)</f>
        <v/>
      </c>
      <c r="J23" s="13">
        <f>(D23-E23)^2</f>
        <v/>
      </c>
      <c r="K23" s="14">
        <f>IF(ABS(G23)&lt;=1E-8,"",ABS((G23-H23)/G23))</f>
        <v/>
      </c>
    </row>
    <row r="24">
      <c r="A24" s="11" t="n">
        <v>45382</v>
      </c>
      <c r="B24" s="12" t="inlineStr">
        <is>
          <t>CA</t>
        </is>
      </c>
      <c r="C24" s="12" t="inlineStr">
        <is>
          <t>Random walk</t>
        </is>
      </c>
      <c r="D24" s="13" t="n">
        <v>0.1999999999999993</v>
      </c>
      <c r="E24" s="13" t="n">
        <v>0</v>
      </c>
      <c r="F24" s="13" t="n">
        <v>5.9</v>
      </c>
      <c r="G24" s="13">
        <f>D24+F24</f>
        <v/>
      </c>
      <c r="H24" s="13">
        <f>E24+F24</f>
        <v/>
      </c>
      <c r="I24" s="13">
        <f>ABS(D24-E24)</f>
        <v/>
      </c>
      <c r="J24" s="13">
        <f>(D24-E24)^2</f>
        <v/>
      </c>
      <c r="K24" s="14">
        <f>IF(ABS(G24)&lt;=1E-8,"",ABS((G24-H24)/G24))</f>
        <v/>
      </c>
    </row>
    <row r="25">
      <c r="A25" s="11" t="n">
        <v>45382</v>
      </c>
      <c r="B25" s="12" t="inlineStr">
        <is>
          <t>DE</t>
        </is>
      </c>
      <c r="C25" s="12" t="inlineStr">
        <is>
          <t>Random walk</t>
        </is>
      </c>
      <c r="D25" s="13" t="n">
        <v>0.0999999999999996</v>
      </c>
      <c r="E25" s="13" t="n">
        <v>0</v>
      </c>
      <c r="F25" s="13" t="n">
        <v>3.2</v>
      </c>
      <c r="G25" s="13">
        <f>D25+F25</f>
        <v/>
      </c>
      <c r="H25" s="13">
        <f>E25+F25</f>
        <v/>
      </c>
      <c r="I25" s="13">
        <f>ABS(D25-E25)</f>
        <v/>
      </c>
      <c r="J25" s="13">
        <f>(D25-E25)^2</f>
        <v/>
      </c>
      <c r="K25" s="14">
        <f>IF(ABS(G25)&lt;=1E-8,"",ABS((G25-H25)/G25))</f>
        <v/>
      </c>
    </row>
    <row r="26">
      <c r="A26" s="11" t="n">
        <v>45382</v>
      </c>
      <c r="B26" s="12" t="inlineStr">
        <is>
          <t>FR</t>
        </is>
      </c>
      <c r="C26" s="12" t="inlineStr">
        <is>
          <t>Random walk</t>
        </is>
      </c>
      <c r="D26" s="13" t="n">
        <v>-0.0999999999999996</v>
      </c>
      <c r="E26" s="13" t="n">
        <v>0</v>
      </c>
      <c r="F26" s="13" t="n">
        <v>7.5</v>
      </c>
      <c r="G26" s="13">
        <f>D26+F26</f>
        <v/>
      </c>
      <c r="H26" s="13">
        <f>E26+F26</f>
        <v/>
      </c>
      <c r="I26" s="13">
        <f>ABS(D26-E26)</f>
        <v/>
      </c>
      <c r="J26" s="13">
        <f>(D26-E26)^2</f>
        <v/>
      </c>
      <c r="K26" s="14">
        <f>IF(ABS(G26)&lt;=1E-8,"",ABS((G26-H26)/G26))</f>
        <v/>
      </c>
    </row>
    <row r="27">
      <c r="A27" s="11" t="n">
        <v>45382</v>
      </c>
      <c r="B27" s="12" t="inlineStr">
        <is>
          <t>GB</t>
        </is>
      </c>
      <c r="C27" s="12" t="inlineStr">
        <is>
          <t>Random walk</t>
        </is>
      </c>
      <c r="D27" s="13" t="n">
        <v>0.1000000000000005</v>
      </c>
      <c r="E27" s="13" t="n">
        <v>0</v>
      </c>
      <c r="F27" s="13" t="n">
        <v>4.3</v>
      </c>
      <c r="G27" s="13">
        <f>D27+F27</f>
        <v/>
      </c>
      <c r="H27" s="13">
        <f>E27+F27</f>
        <v/>
      </c>
      <c r="I27" s="13">
        <f>ABS(D27-E27)</f>
        <v/>
      </c>
      <c r="J27" s="13">
        <f>(D27-E27)^2</f>
        <v/>
      </c>
      <c r="K27" s="14">
        <f>IF(ABS(G27)&lt;=1E-8,"",ABS((G27-H27)/G27))</f>
        <v/>
      </c>
    </row>
    <row r="28">
      <c r="A28" s="11" t="n">
        <v>45382</v>
      </c>
      <c r="B28" s="12" t="inlineStr">
        <is>
          <t>IT</t>
        </is>
      </c>
      <c r="C28" s="12" t="inlineStr">
        <is>
          <t>Random walk</t>
        </is>
      </c>
      <c r="D28" s="13" t="n">
        <v>-0.3999999999999994</v>
      </c>
      <c r="E28" s="13" t="n">
        <v>0</v>
      </c>
      <c r="F28" s="13" t="n">
        <v>7.3</v>
      </c>
      <c r="G28" s="13">
        <f>D28+F28</f>
        <v/>
      </c>
      <c r="H28" s="13">
        <f>E28+F28</f>
        <v/>
      </c>
      <c r="I28" s="13">
        <f>ABS(D28-E28)</f>
        <v/>
      </c>
      <c r="J28" s="13">
        <f>(D28-E28)^2</f>
        <v/>
      </c>
      <c r="K28" s="14">
        <f>IF(ABS(G28)&lt;=1E-8,"",ABS((G28-H28)/G28))</f>
        <v/>
      </c>
    </row>
    <row r="29">
      <c r="A29" s="11" t="n">
        <v>45382</v>
      </c>
      <c r="B29" s="12" t="inlineStr">
        <is>
          <t>JP</t>
        </is>
      </c>
      <c r="C29" s="12" t="inlineStr">
        <is>
          <t>Random walk</t>
        </is>
      </c>
      <c r="D29" s="13" t="n">
        <v>0</v>
      </c>
      <c r="E29" s="13" t="n">
        <v>0</v>
      </c>
      <c r="F29" s="13" t="n">
        <v>2.6</v>
      </c>
      <c r="G29" s="13">
        <f>D29+F29</f>
        <v/>
      </c>
      <c r="H29" s="13">
        <f>E29+F29</f>
        <v/>
      </c>
      <c r="I29" s="13">
        <f>ABS(D29-E29)</f>
        <v/>
      </c>
      <c r="J29" s="13">
        <f>(D29-E29)^2</f>
        <v/>
      </c>
      <c r="K29" s="14">
        <f>IF(ABS(G29)&lt;=1E-8,"",ABS((G29-H29)/G29))</f>
        <v/>
      </c>
    </row>
    <row r="30">
      <c r="A30" s="11" t="n">
        <v>45382</v>
      </c>
      <c r="B30" s="12" t="inlineStr">
        <is>
          <t>KR</t>
        </is>
      </c>
      <c r="C30" s="12" t="inlineStr">
        <is>
          <t>Random walk</t>
        </is>
      </c>
      <c r="D30" s="13" t="n">
        <v>0.0999999999999996</v>
      </c>
      <c r="E30" s="13" t="n">
        <v>0</v>
      </c>
      <c r="F30" s="13" t="n">
        <v>2.7</v>
      </c>
      <c r="G30" s="13">
        <f>D30+F30</f>
        <v/>
      </c>
      <c r="H30" s="13">
        <f>E30+F30</f>
        <v/>
      </c>
      <c r="I30" s="13">
        <f>ABS(D30-E30)</f>
        <v/>
      </c>
      <c r="J30" s="13">
        <f>(D30-E30)^2</f>
        <v/>
      </c>
      <c r="K30" s="14">
        <f>IF(ABS(G30)&lt;=1E-8,"",ABS((G30-H30)/G30))</f>
        <v/>
      </c>
    </row>
    <row r="31">
      <c r="A31" s="11" t="n">
        <v>45382</v>
      </c>
      <c r="B31" s="12" t="inlineStr">
        <is>
          <t>US</t>
        </is>
      </c>
      <c r="C31" s="12" t="inlineStr">
        <is>
          <t>Random walk</t>
        </is>
      </c>
      <c r="D31" s="13" t="n">
        <v>0</v>
      </c>
      <c r="E31" s="13" t="n">
        <v>0</v>
      </c>
      <c r="F31" s="13" t="n">
        <v>3.9</v>
      </c>
      <c r="G31" s="13">
        <f>D31+F31</f>
        <v/>
      </c>
      <c r="H31" s="13">
        <f>E31+F31</f>
        <v/>
      </c>
      <c r="I31" s="13">
        <f>ABS(D31-E31)</f>
        <v/>
      </c>
      <c r="J31" s="13">
        <f>(D31-E31)^2</f>
        <v/>
      </c>
      <c r="K31" s="14">
        <f>IF(ABS(G31)&lt;=1E-8,"",ABS((G31-H31)/G31))</f>
        <v/>
      </c>
    </row>
    <row r="32">
      <c r="A32" s="11" t="n">
        <v>45412</v>
      </c>
      <c r="B32" s="12" t="inlineStr">
        <is>
          <t>AU</t>
        </is>
      </c>
      <c r="C32" s="12" t="inlineStr">
        <is>
          <t>Random walk</t>
        </is>
      </c>
      <c r="D32" s="13" t="n">
        <v>0.1814180000000003</v>
      </c>
      <c r="E32" s="13" t="n">
        <v>0</v>
      </c>
      <c r="F32" s="13" t="n">
        <v>3.90005</v>
      </c>
      <c r="G32" s="13">
        <f>D32+F32</f>
        <v/>
      </c>
      <c r="H32" s="13">
        <f>E32+F32</f>
        <v/>
      </c>
      <c r="I32" s="13">
        <f>ABS(D32-E32)</f>
        <v/>
      </c>
      <c r="J32" s="13">
        <f>(D32-E32)^2</f>
        <v/>
      </c>
      <c r="K32" s="14">
        <f>IF(ABS(G32)&lt;=1E-8,"",ABS((G32-H32)/G32))</f>
        <v/>
      </c>
    </row>
    <row r="33">
      <c r="A33" s="11" t="n">
        <v>45412</v>
      </c>
      <c r="B33" s="12" t="inlineStr">
        <is>
          <t>CA</t>
        </is>
      </c>
      <c r="C33" s="12" t="inlineStr">
        <is>
          <t>Random walk</t>
        </is>
      </c>
      <c r="D33" s="13" t="n">
        <v>0.1000000000000005</v>
      </c>
      <c r="E33" s="13" t="n">
        <v>0</v>
      </c>
      <c r="F33" s="13" t="n">
        <v>6.1</v>
      </c>
      <c r="G33" s="13">
        <f>D33+F33</f>
        <v/>
      </c>
      <c r="H33" s="13">
        <f>E33+F33</f>
        <v/>
      </c>
      <c r="I33" s="13">
        <f>ABS(D33-E33)</f>
        <v/>
      </c>
      <c r="J33" s="13">
        <f>(D33-E33)^2</f>
        <v/>
      </c>
      <c r="K33" s="14">
        <f>IF(ABS(G33)&lt;=1E-8,"",ABS((G33-H33)/G33))</f>
        <v/>
      </c>
    </row>
    <row r="34">
      <c r="A34" s="11" t="n">
        <v>45412</v>
      </c>
      <c r="B34" s="12" t="inlineStr">
        <is>
          <t>DE</t>
        </is>
      </c>
      <c r="C34" s="12" t="inlineStr">
        <is>
          <t>Random walk</t>
        </is>
      </c>
      <c r="D34" s="13" t="n">
        <v>0.1</v>
      </c>
      <c r="E34" s="13" t="n">
        <v>0</v>
      </c>
      <c r="F34" s="13" t="n">
        <v>3.3</v>
      </c>
      <c r="G34" s="13">
        <f>D34+F34</f>
        <v/>
      </c>
      <c r="H34" s="13">
        <f>E34+F34</f>
        <v/>
      </c>
      <c r="I34" s="13">
        <f>ABS(D34-E34)</f>
        <v/>
      </c>
      <c r="J34" s="13">
        <f>(D34-E34)^2</f>
        <v/>
      </c>
      <c r="K34" s="14">
        <f>IF(ABS(G34)&lt;=1E-8,"",ABS((G34-H34)/G34))</f>
        <v/>
      </c>
    </row>
    <row r="35">
      <c r="A35" s="11" t="n">
        <v>45412</v>
      </c>
      <c r="B35" s="12" t="inlineStr">
        <is>
          <t>FR</t>
        </is>
      </c>
      <c r="C35" s="12" t="inlineStr">
        <is>
          <t>Random walk</t>
        </is>
      </c>
      <c r="D35" s="13" t="n">
        <v>0</v>
      </c>
      <c r="E35" s="13" t="n">
        <v>0</v>
      </c>
      <c r="F35" s="13" t="n">
        <v>7.4</v>
      </c>
      <c r="G35" s="13">
        <f>D35+F35</f>
        <v/>
      </c>
      <c r="H35" s="13">
        <f>E35+F35</f>
        <v/>
      </c>
      <c r="I35" s="13">
        <f>ABS(D35-E35)</f>
        <v/>
      </c>
      <c r="J35" s="13">
        <f>(D35-E35)^2</f>
        <v/>
      </c>
      <c r="K35" s="14">
        <f>IF(ABS(G35)&lt;=1E-8,"",ABS((G35-H35)/G35))</f>
        <v/>
      </c>
    </row>
    <row r="36">
      <c r="A36" s="11" t="n">
        <v>45412</v>
      </c>
      <c r="B36" s="12" t="inlineStr">
        <is>
          <t>GB</t>
        </is>
      </c>
      <c r="C36" s="12" t="inlineStr">
        <is>
          <t>Random walk</t>
        </is>
      </c>
      <c r="D36" s="13" t="n">
        <v>0</v>
      </c>
      <c r="E36" s="13" t="n">
        <v>0</v>
      </c>
      <c r="F36" s="13" t="n">
        <v>4.4</v>
      </c>
      <c r="G36" s="13">
        <f>D36+F36</f>
        <v/>
      </c>
      <c r="H36" s="13">
        <f>E36+F36</f>
        <v/>
      </c>
      <c r="I36" s="13">
        <f>ABS(D36-E36)</f>
        <v/>
      </c>
      <c r="J36" s="13">
        <f>(D36-E36)^2</f>
        <v/>
      </c>
      <c r="K36" s="14">
        <f>IF(ABS(G36)&lt;=1E-8,"",ABS((G36-H36)/G36))</f>
        <v/>
      </c>
    </row>
    <row r="37">
      <c r="A37" s="11" t="n">
        <v>45412</v>
      </c>
      <c r="B37" s="12" t="inlineStr">
        <is>
          <t>IT</t>
        </is>
      </c>
      <c r="C37" s="12" t="inlineStr">
        <is>
          <t>Random walk</t>
        </is>
      </c>
      <c r="D37" s="13" t="n">
        <v>-0.1000000000000005</v>
      </c>
      <c r="E37" s="13" t="n">
        <v>0</v>
      </c>
      <c r="F37" s="13" t="n">
        <v>6.9</v>
      </c>
      <c r="G37" s="13">
        <f>D37+F37</f>
        <v/>
      </c>
      <c r="H37" s="13">
        <f>E37+F37</f>
        <v/>
      </c>
      <c r="I37" s="13">
        <f>ABS(D37-E37)</f>
        <v/>
      </c>
      <c r="J37" s="13">
        <f>(D37-E37)^2</f>
        <v/>
      </c>
      <c r="K37" s="14">
        <f>IF(ABS(G37)&lt;=1E-8,"",ABS((G37-H37)/G37))</f>
        <v/>
      </c>
    </row>
    <row r="38">
      <c r="A38" s="11" t="n">
        <v>45412</v>
      </c>
      <c r="B38" s="12" t="inlineStr">
        <is>
          <t>JP</t>
        </is>
      </c>
      <c r="C38" s="12" t="inlineStr">
        <is>
          <t>Random walk</t>
        </is>
      </c>
      <c r="D38" s="13" t="n">
        <v>0</v>
      </c>
      <c r="E38" s="13" t="n">
        <v>0</v>
      </c>
      <c r="F38" s="13" t="n">
        <v>2.6</v>
      </c>
      <c r="G38" s="13">
        <f>D38+F38</f>
        <v/>
      </c>
      <c r="H38" s="13">
        <f>E38+F38</f>
        <v/>
      </c>
      <c r="I38" s="13">
        <f>ABS(D38-E38)</f>
        <v/>
      </c>
      <c r="J38" s="13">
        <f>(D38-E38)^2</f>
        <v/>
      </c>
      <c r="K38" s="14">
        <f>IF(ABS(G38)&lt;=1E-8,"",ABS((G38-H38)/G38))</f>
        <v/>
      </c>
    </row>
    <row r="39">
      <c r="A39" s="11" t="n">
        <v>45412</v>
      </c>
      <c r="B39" s="12" t="inlineStr">
        <is>
          <t>KR</t>
        </is>
      </c>
      <c r="C39" s="12" t="inlineStr">
        <is>
          <t>Random walk</t>
        </is>
      </c>
      <c r="D39" s="13" t="n">
        <v>0</v>
      </c>
      <c r="E39" s="13" t="n">
        <v>0</v>
      </c>
      <c r="F39" s="13" t="n">
        <v>2.8</v>
      </c>
      <c r="G39" s="13">
        <f>D39+F39</f>
        <v/>
      </c>
      <c r="H39" s="13">
        <f>E39+F39</f>
        <v/>
      </c>
      <c r="I39" s="13">
        <f>ABS(D39-E39)</f>
        <v/>
      </c>
      <c r="J39" s="13">
        <f>(D39-E39)^2</f>
        <v/>
      </c>
      <c r="K39" s="14">
        <f>IF(ABS(G39)&lt;=1E-8,"",ABS((G39-H39)/G39))</f>
        <v/>
      </c>
    </row>
    <row r="40">
      <c r="A40" s="11" t="n">
        <v>45412</v>
      </c>
      <c r="B40" s="12" t="inlineStr">
        <is>
          <t>US</t>
        </is>
      </c>
      <c r="C40" s="12" t="inlineStr">
        <is>
          <t>Random walk</t>
        </is>
      </c>
      <c r="D40" s="13" t="n">
        <v>0</v>
      </c>
      <c r="E40" s="13" t="n">
        <v>0</v>
      </c>
      <c r="F40" s="13" t="n">
        <v>3.9</v>
      </c>
      <c r="G40" s="13">
        <f>D40+F40</f>
        <v/>
      </c>
      <c r="H40" s="13">
        <f>E40+F40</f>
        <v/>
      </c>
      <c r="I40" s="13">
        <f>ABS(D40-E40)</f>
        <v/>
      </c>
      <c r="J40" s="13">
        <f>(D40-E40)^2</f>
        <v/>
      </c>
      <c r="K40" s="14">
        <f>IF(ABS(G40)&lt;=1E-8,"",ABS((G40-H40)/G40))</f>
        <v/>
      </c>
    </row>
    <row r="41">
      <c r="A41" s="11" t="n">
        <v>45443</v>
      </c>
      <c r="B41" s="12" t="inlineStr">
        <is>
          <t>AU</t>
        </is>
      </c>
      <c r="C41" s="12" t="inlineStr">
        <is>
          <t>Random walk</t>
        </is>
      </c>
      <c r="D41" s="13" t="n">
        <v>-0.07635600000000051</v>
      </c>
      <c r="E41" s="13" t="n">
        <v>0</v>
      </c>
      <c r="F41" s="13" t="n">
        <v>4.081468</v>
      </c>
      <c r="G41" s="13">
        <f>D41+F41</f>
        <v/>
      </c>
      <c r="H41" s="13">
        <f>E41+F41</f>
        <v/>
      </c>
      <c r="I41" s="13">
        <f>ABS(D41-E41)</f>
        <v/>
      </c>
      <c r="J41" s="13">
        <f>(D41-E41)^2</f>
        <v/>
      </c>
      <c r="K41" s="14">
        <f>IF(ABS(G41)&lt;=1E-8,"",ABS((G41-H41)/G41))</f>
        <v/>
      </c>
    </row>
    <row r="42">
      <c r="A42" s="11" t="n">
        <v>45443</v>
      </c>
      <c r="B42" s="12" t="inlineStr">
        <is>
          <t>CA</t>
        </is>
      </c>
      <c r="C42" s="12" t="inlineStr">
        <is>
          <t>Random walk</t>
        </is>
      </c>
      <c r="D42" s="13" t="n">
        <v>0.0999999999999996</v>
      </c>
      <c r="E42" s="13" t="n">
        <v>0</v>
      </c>
      <c r="F42" s="13" t="n">
        <v>6.2</v>
      </c>
      <c r="G42" s="13">
        <f>D42+F42</f>
        <v/>
      </c>
      <c r="H42" s="13">
        <f>E42+F42</f>
        <v/>
      </c>
      <c r="I42" s="13">
        <f>ABS(D42-E42)</f>
        <v/>
      </c>
      <c r="J42" s="13">
        <f>(D42-E42)^2</f>
        <v/>
      </c>
      <c r="K42" s="14">
        <f>IF(ABS(G42)&lt;=1E-8,"",ABS((G42-H42)/G42))</f>
        <v/>
      </c>
    </row>
    <row r="43">
      <c r="A43" s="11" t="n">
        <v>45443</v>
      </c>
      <c r="B43" s="12" t="inlineStr">
        <is>
          <t>DE</t>
        </is>
      </c>
      <c r="C43" s="12" t="inlineStr">
        <is>
          <t>Random walk</t>
        </is>
      </c>
      <c r="D43" s="13" t="n">
        <v>0</v>
      </c>
      <c r="E43" s="13" t="n">
        <v>0</v>
      </c>
      <c r="F43" s="13" t="n">
        <v>3.4</v>
      </c>
      <c r="G43" s="13">
        <f>D43+F43</f>
        <v/>
      </c>
      <c r="H43" s="13">
        <f>E43+F43</f>
        <v/>
      </c>
      <c r="I43" s="13">
        <f>ABS(D43-E43)</f>
        <v/>
      </c>
      <c r="J43" s="13">
        <f>(D43-E43)^2</f>
        <v/>
      </c>
      <c r="K43" s="14">
        <f>IF(ABS(G43)&lt;=1E-8,"",ABS((G43-H43)/G43))</f>
        <v/>
      </c>
    </row>
    <row r="44">
      <c r="A44" s="11" t="n">
        <v>45443</v>
      </c>
      <c r="B44" s="12" t="inlineStr">
        <is>
          <t>FR</t>
        </is>
      </c>
      <c r="C44" s="12" t="inlineStr">
        <is>
          <t>Random walk</t>
        </is>
      </c>
      <c r="D44" s="13" t="n">
        <v>0</v>
      </c>
      <c r="E44" s="13" t="n">
        <v>0</v>
      </c>
      <c r="F44" s="13" t="n">
        <v>7.4</v>
      </c>
      <c r="G44" s="13">
        <f>D44+F44</f>
        <v/>
      </c>
      <c r="H44" s="13">
        <f>E44+F44</f>
        <v/>
      </c>
      <c r="I44" s="13">
        <f>ABS(D44-E44)</f>
        <v/>
      </c>
      <c r="J44" s="13">
        <f>(D44-E44)^2</f>
        <v/>
      </c>
      <c r="K44" s="14">
        <f>IF(ABS(G44)&lt;=1E-8,"",ABS((G44-H44)/G44))</f>
        <v/>
      </c>
    </row>
    <row r="45">
      <c r="A45" s="11" t="n">
        <v>45443</v>
      </c>
      <c r="B45" s="12" t="inlineStr">
        <is>
          <t>GB</t>
        </is>
      </c>
      <c r="C45" s="12" t="inlineStr">
        <is>
          <t>Random walk</t>
        </is>
      </c>
      <c r="D45" s="13" t="n">
        <v>-0.2000000000000001</v>
      </c>
      <c r="E45" s="13" t="n">
        <v>0</v>
      </c>
      <c r="F45" s="13" t="n">
        <v>4.4</v>
      </c>
      <c r="G45" s="13">
        <f>D45+F45</f>
        <v/>
      </c>
      <c r="H45" s="13">
        <f>E45+F45</f>
        <v/>
      </c>
      <c r="I45" s="13">
        <f>ABS(D45-E45)</f>
        <v/>
      </c>
      <c r="J45" s="13">
        <f>(D45-E45)^2</f>
        <v/>
      </c>
      <c r="K45" s="14">
        <f>IF(ABS(G45)&lt;=1E-8,"",ABS((G45-H45)/G45))</f>
        <v/>
      </c>
    </row>
    <row r="46">
      <c r="A46" s="11" t="n">
        <v>45443</v>
      </c>
      <c r="B46" s="12" t="inlineStr">
        <is>
          <t>IT</t>
        </is>
      </c>
      <c r="C46" s="12" t="inlineStr">
        <is>
          <t>Random walk</t>
        </is>
      </c>
      <c r="D46" s="13" t="n">
        <v>-0.2999999999999998</v>
      </c>
      <c r="E46" s="13" t="n">
        <v>0</v>
      </c>
      <c r="F46" s="13" t="n">
        <v>6.8</v>
      </c>
      <c r="G46" s="13">
        <f>D46+F46</f>
        <v/>
      </c>
      <c r="H46" s="13">
        <f>E46+F46</f>
        <v/>
      </c>
      <c r="I46" s="13">
        <f>ABS(D46-E46)</f>
        <v/>
      </c>
      <c r="J46" s="13">
        <f>(D46-E46)^2</f>
        <v/>
      </c>
      <c r="K46" s="14">
        <f>IF(ABS(G46)&lt;=1E-8,"",ABS((G46-H46)/G46))</f>
        <v/>
      </c>
    </row>
    <row r="47">
      <c r="A47" s="11" t="n">
        <v>45443</v>
      </c>
      <c r="B47" s="12" t="inlineStr">
        <is>
          <t>JP</t>
        </is>
      </c>
      <c r="C47" s="12" t="inlineStr">
        <is>
          <t>Random walk</t>
        </is>
      </c>
      <c r="D47" s="13" t="n">
        <v>0</v>
      </c>
      <c r="E47" s="13" t="n">
        <v>0</v>
      </c>
      <c r="F47" s="13" t="n">
        <v>2.6</v>
      </c>
      <c r="G47" s="13">
        <f>D47+F47</f>
        <v/>
      </c>
      <c r="H47" s="13">
        <f>E47+F47</f>
        <v/>
      </c>
      <c r="I47" s="13">
        <f>ABS(D47-E47)</f>
        <v/>
      </c>
      <c r="J47" s="13">
        <f>(D47-E47)^2</f>
        <v/>
      </c>
      <c r="K47" s="14">
        <f>IF(ABS(G47)&lt;=1E-8,"",ABS((G47-H47)/G47))</f>
        <v/>
      </c>
    </row>
    <row r="48">
      <c r="A48" s="11" t="n">
        <v>45443</v>
      </c>
      <c r="B48" s="12" t="inlineStr">
        <is>
          <t>KR</t>
        </is>
      </c>
      <c r="C48" s="12" t="inlineStr">
        <is>
          <t>Random walk</t>
        </is>
      </c>
      <c r="D48" s="13" t="n">
        <v>0</v>
      </c>
      <c r="E48" s="13" t="n">
        <v>0</v>
      </c>
      <c r="F48" s="13" t="n">
        <v>2.8</v>
      </c>
      <c r="G48" s="13">
        <f>D48+F48</f>
        <v/>
      </c>
      <c r="H48" s="13">
        <f>E48+F48</f>
        <v/>
      </c>
      <c r="I48" s="13">
        <f>ABS(D48-E48)</f>
        <v/>
      </c>
      <c r="J48" s="13">
        <f>(D48-E48)^2</f>
        <v/>
      </c>
      <c r="K48" s="14">
        <f>IF(ABS(G48)&lt;=1E-8,"",ABS((G48-H48)/G48))</f>
        <v/>
      </c>
    </row>
    <row r="49">
      <c r="A49" s="11" t="n">
        <v>45443</v>
      </c>
      <c r="B49" s="12" t="inlineStr">
        <is>
          <t>US</t>
        </is>
      </c>
      <c r="C49" s="12" t="inlineStr">
        <is>
          <t>Random walk</t>
        </is>
      </c>
      <c r="D49" s="13" t="n">
        <v>0</v>
      </c>
      <c r="E49" s="13" t="n">
        <v>0</v>
      </c>
      <c r="F49" s="13" t="n">
        <v>3.9</v>
      </c>
      <c r="G49" s="13">
        <f>D49+F49</f>
        <v/>
      </c>
      <c r="H49" s="13">
        <f>E49+F49</f>
        <v/>
      </c>
      <c r="I49" s="13">
        <f>ABS(D49-E49)</f>
        <v/>
      </c>
      <c r="J49" s="13">
        <f>(D49-E49)^2</f>
        <v/>
      </c>
      <c r="K49" s="14">
        <f>IF(ABS(G49)&lt;=1E-8,"",ABS((G49-H49)/G49))</f>
        <v/>
      </c>
    </row>
    <row r="50">
      <c r="A50" s="11" t="n">
        <v>45473</v>
      </c>
      <c r="B50" s="12" t="inlineStr">
        <is>
          <t>AU</t>
        </is>
      </c>
      <c r="C50" s="12" t="inlineStr">
        <is>
          <t>Random walk</t>
        </is>
      </c>
      <c r="D50" s="13" t="n">
        <v>0.0282750000000007</v>
      </c>
      <c r="E50" s="13" t="n">
        <v>0</v>
      </c>
      <c r="F50" s="13" t="n">
        <v>4.005112</v>
      </c>
      <c r="G50" s="13">
        <f>D50+F50</f>
        <v/>
      </c>
      <c r="H50" s="13">
        <f>E50+F50</f>
        <v/>
      </c>
      <c r="I50" s="13">
        <f>ABS(D50-E50)</f>
        <v/>
      </c>
      <c r="J50" s="13">
        <f>(D50-E50)^2</f>
        <v/>
      </c>
      <c r="K50" s="14">
        <f>IF(ABS(G50)&lt;=1E-8,"",ABS((G50-H50)/G50))</f>
        <v/>
      </c>
    </row>
    <row r="51">
      <c r="A51" s="11" t="n">
        <v>45473</v>
      </c>
      <c r="B51" s="12" t="inlineStr">
        <is>
          <t>CA</t>
        </is>
      </c>
      <c r="C51" s="12" t="inlineStr">
        <is>
          <t>Random walk</t>
        </is>
      </c>
      <c r="D51" s="13" t="n">
        <v>0.1000000000000005</v>
      </c>
      <c r="E51" s="13" t="n">
        <v>0</v>
      </c>
      <c r="F51" s="13" t="n">
        <v>6.3</v>
      </c>
      <c r="G51" s="13">
        <f>D51+F51</f>
        <v/>
      </c>
      <c r="H51" s="13">
        <f>E51+F51</f>
        <v/>
      </c>
      <c r="I51" s="13">
        <f>ABS(D51-E51)</f>
        <v/>
      </c>
      <c r="J51" s="13">
        <f>(D51-E51)^2</f>
        <v/>
      </c>
      <c r="K51" s="14">
        <f>IF(ABS(G51)&lt;=1E-8,"",ABS((G51-H51)/G51))</f>
        <v/>
      </c>
    </row>
    <row r="52">
      <c r="A52" s="11" t="n">
        <v>45473</v>
      </c>
      <c r="B52" s="12" t="inlineStr">
        <is>
          <t>DE</t>
        </is>
      </c>
      <c r="C52" s="12" t="inlineStr">
        <is>
          <t>Random walk</t>
        </is>
      </c>
      <c r="D52" s="13" t="n">
        <v>0</v>
      </c>
      <c r="E52" s="13" t="n">
        <v>0</v>
      </c>
      <c r="F52" s="13" t="n">
        <v>3.4</v>
      </c>
      <c r="G52" s="13">
        <f>D52+F52</f>
        <v/>
      </c>
      <c r="H52" s="13">
        <f>E52+F52</f>
        <v/>
      </c>
      <c r="I52" s="13">
        <f>ABS(D52-E52)</f>
        <v/>
      </c>
      <c r="J52" s="13">
        <f>(D52-E52)^2</f>
        <v/>
      </c>
      <c r="K52" s="14">
        <f>IF(ABS(G52)&lt;=1E-8,"",ABS((G52-H52)/G52))</f>
        <v/>
      </c>
    </row>
    <row r="53">
      <c r="A53" s="11" t="n">
        <v>45473</v>
      </c>
      <c r="B53" s="12" t="inlineStr">
        <is>
          <t>FR</t>
        </is>
      </c>
      <c r="C53" s="12" t="inlineStr">
        <is>
          <t>Random walk</t>
        </is>
      </c>
      <c r="D53" s="13" t="n">
        <v>0.0999999999999996</v>
      </c>
      <c r="E53" s="13" t="n">
        <v>0</v>
      </c>
      <c r="F53" s="13" t="n">
        <v>7.4</v>
      </c>
      <c r="G53" s="13">
        <f>D53+F53</f>
        <v/>
      </c>
      <c r="H53" s="13">
        <f>E53+F53</f>
        <v/>
      </c>
      <c r="I53" s="13">
        <f>ABS(D53-E53)</f>
        <v/>
      </c>
      <c r="J53" s="13">
        <f>(D53-E53)^2</f>
        <v/>
      </c>
      <c r="K53" s="14">
        <f>IF(ABS(G53)&lt;=1E-8,"",ABS((G53-H53)/G53))</f>
        <v/>
      </c>
    </row>
    <row r="54">
      <c r="A54" s="11" t="n">
        <v>45473</v>
      </c>
      <c r="B54" s="12" t="inlineStr">
        <is>
          <t>GB</t>
        </is>
      </c>
      <c r="C54" s="12" t="inlineStr">
        <is>
          <t>Random walk</t>
        </is>
      </c>
      <c r="D54" s="13" t="n">
        <v>0</v>
      </c>
      <c r="E54" s="13" t="n">
        <v>0</v>
      </c>
      <c r="F54" s="13" t="n">
        <v>4.2</v>
      </c>
      <c r="G54" s="13">
        <f>D54+F54</f>
        <v/>
      </c>
      <c r="H54" s="13">
        <f>E54+F54</f>
        <v/>
      </c>
      <c r="I54" s="13">
        <f>ABS(D54-E54)</f>
        <v/>
      </c>
      <c r="J54" s="13">
        <f>(D54-E54)^2</f>
        <v/>
      </c>
      <c r="K54" s="14">
        <f>IF(ABS(G54)&lt;=1E-8,"",ABS((G54-H54)/G54))</f>
        <v/>
      </c>
    </row>
    <row r="55">
      <c r="A55" s="11" t="n">
        <v>45473</v>
      </c>
      <c r="B55" s="12" t="inlineStr">
        <is>
          <t>IT</t>
        </is>
      </c>
      <c r="C55" s="12" t="inlineStr">
        <is>
          <t>Random walk</t>
        </is>
      </c>
      <c r="D55" s="13" t="n">
        <v>0.2000000000000001</v>
      </c>
      <c r="E55" s="13" t="n">
        <v>0</v>
      </c>
      <c r="F55" s="13" t="n">
        <v>6.5</v>
      </c>
      <c r="G55" s="13">
        <f>D55+F55</f>
        <v/>
      </c>
      <c r="H55" s="13">
        <f>E55+F55</f>
        <v/>
      </c>
      <c r="I55" s="13">
        <f>ABS(D55-E55)</f>
        <v/>
      </c>
      <c r="J55" s="13">
        <f>(D55-E55)^2</f>
        <v/>
      </c>
      <c r="K55" s="14">
        <f>IF(ABS(G55)&lt;=1E-8,"",ABS((G55-H55)/G55))</f>
        <v/>
      </c>
    </row>
    <row r="56">
      <c r="A56" s="11" t="n">
        <v>45473</v>
      </c>
      <c r="B56" s="12" t="inlineStr">
        <is>
          <t>JP</t>
        </is>
      </c>
      <c r="C56" s="12" t="inlineStr">
        <is>
          <t>Random walk</t>
        </is>
      </c>
      <c r="D56" s="13" t="n">
        <v>-0.1</v>
      </c>
      <c r="E56" s="13" t="n">
        <v>0</v>
      </c>
      <c r="F56" s="13" t="n">
        <v>2.6</v>
      </c>
      <c r="G56" s="13">
        <f>D56+F56</f>
        <v/>
      </c>
      <c r="H56" s="13">
        <f>E56+F56</f>
        <v/>
      </c>
      <c r="I56" s="13">
        <f>ABS(D56-E56)</f>
        <v/>
      </c>
      <c r="J56" s="13">
        <f>(D56-E56)^2</f>
        <v/>
      </c>
      <c r="K56" s="14">
        <f>IF(ABS(G56)&lt;=1E-8,"",ABS((G56-H56)/G56))</f>
        <v/>
      </c>
    </row>
    <row r="57">
      <c r="A57" s="11" t="n">
        <v>45473</v>
      </c>
      <c r="B57" s="12" t="inlineStr">
        <is>
          <t>KR</t>
        </is>
      </c>
      <c r="C57" s="12" t="inlineStr">
        <is>
          <t>Random walk</t>
        </is>
      </c>
      <c r="D57" s="13" t="n">
        <v>0</v>
      </c>
      <c r="E57" s="13" t="n">
        <v>0</v>
      </c>
      <c r="F57" s="13" t="n">
        <v>2.8</v>
      </c>
      <c r="G57" s="13">
        <f>D57+F57</f>
        <v/>
      </c>
      <c r="H57" s="13">
        <f>E57+F57</f>
        <v/>
      </c>
      <c r="I57" s="13">
        <f>ABS(D57-E57)</f>
        <v/>
      </c>
      <c r="J57" s="13">
        <f>(D57-E57)^2</f>
        <v/>
      </c>
      <c r="K57" s="14">
        <f>IF(ABS(G57)&lt;=1E-8,"",ABS((G57-H57)/G57))</f>
        <v/>
      </c>
    </row>
    <row r="58">
      <c r="A58" s="11" t="n">
        <v>45473</v>
      </c>
      <c r="B58" s="12" t="inlineStr">
        <is>
          <t>US</t>
        </is>
      </c>
      <c r="C58" s="12" t="inlineStr">
        <is>
          <t>Random walk</t>
        </is>
      </c>
      <c r="D58" s="13" t="n">
        <v>0.1999999999999997</v>
      </c>
      <c r="E58" s="13" t="n">
        <v>0</v>
      </c>
      <c r="F58" s="13" t="n">
        <v>3.9</v>
      </c>
      <c r="G58" s="13">
        <f>D58+F58</f>
        <v/>
      </c>
      <c r="H58" s="13">
        <f>E58+F58</f>
        <v/>
      </c>
      <c r="I58" s="13">
        <f>ABS(D58-E58)</f>
        <v/>
      </c>
      <c r="J58" s="13">
        <f>(D58-E58)^2</f>
        <v/>
      </c>
      <c r="K58" s="14">
        <f>IF(ABS(G58)&lt;=1E-8,"",ABS((G58-H58)/G58))</f>
        <v/>
      </c>
    </row>
    <row r="59">
      <c r="A59" s="11" t="n">
        <v>45504</v>
      </c>
      <c r="B59" s="12" t="inlineStr">
        <is>
          <t>AU</t>
        </is>
      </c>
      <c r="C59" s="12" t="inlineStr">
        <is>
          <t>Random walk</t>
        </is>
      </c>
      <c r="D59" s="13" t="n">
        <v>0.1585450000000001</v>
      </c>
      <c r="E59" s="13" t="n">
        <v>0</v>
      </c>
      <c r="F59" s="13" t="n">
        <v>4.033387</v>
      </c>
      <c r="G59" s="13">
        <f>D59+F59</f>
        <v/>
      </c>
      <c r="H59" s="13">
        <f>E59+F59</f>
        <v/>
      </c>
      <c r="I59" s="13">
        <f>ABS(D59-E59)</f>
        <v/>
      </c>
      <c r="J59" s="13">
        <f>(D59-E59)^2</f>
        <v/>
      </c>
      <c r="K59" s="14">
        <f>IF(ABS(G59)&lt;=1E-8,"",ABS((G59-H59)/G59))</f>
        <v/>
      </c>
    </row>
    <row r="60">
      <c r="A60" s="11" t="n">
        <v>45504</v>
      </c>
      <c r="B60" s="12" t="inlineStr">
        <is>
          <t>CA</t>
        </is>
      </c>
      <c r="C60" s="12" t="inlineStr">
        <is>
          <t>Random walk</t>
        </is>
      </c>
      <c r="D60" s="13" t="n">
        <v>0</v>
      </c>
      <c r="E60" s="13" t="n">
        <v>0</v>
      </c>
      <c r="F60" s="13" t="n">
        <v>6.4</v>
      </c>
      <c r="G60" s="13">
        <f>D60+F60</f>
        <v/>
      </c>
      <c r="H60" s="13">
        <f>E60+F60</f>
        <v/>
      </c>
      <c r="I60" s="13">
        <f>ABS(D60-E60)</f>
        <v/>
      </c>
      <c r="J60" s="13">
        <f>(D60-E60)^2</f>
        <v/>
      </c>
      <c r="K60" s="14">
        <f>IF(ABS(G60)&lt;=1E-8,"",ABS((G60-H60)/G60))</f>
        <v/>
      </c>
    </row>
    <row r="61">
      <c r="A61" s="11" t="n">
        <v>45504</v>
      </c>
      <c r="B61" s="12" t="inlineStr">
        <is>
          <t>DE</t>
        </is>
      </c>
      <c r="C61" s="12" t="inlineStr">
        <is>
          <t>Random walk</t>
        </is>
      </c>
      <c r="D61" s="13" t="n">
        <v>0</v>
      </c>
      <c r="E61" s="13" t="n">
        <v>0</v>
      </c>
      <c r="F61" s="13" t="n">
        <v>3.4</v>
      </c>
      <c r="G61" s="13">
        <f>D61+F61</f>
        <v/>
      </c>
      <c r="H61" s="13">
        <f>E61+F61</f>
        <v/>
      </c>
      <c r="I61" s="13">
        <f>ABS(D61-E61)</f>
        <v/>
      </c>
      <c r="J61" s="13">
        <f>(D61-E61)^2</f>
        <v/>
      </c>
      <c r="K61" s="14">
        <f>IF(ABS(G61)&lt;=1E-8,"",ABS((G61-H61)/G61))</f>
        <v/>
      </c>
    </row>
    <row r="62">
      <c r="A62" s="11" t="n">
        <v>45504</v>
      </c>
      <c r="B62" s="12" t="inlineStr">
        <is>
          <t>FR</t>
        </is>
      </c>
      <c r="C62" s="12" t="inlineStr">
        <is>
          <t>Random walk</t>
        </is>
      </c>
      <c r="D62" s="13" t="n">
        <v>0</v>
      </c>
      <c r="E62" s="13" t="n">
        <v>0</v>
      </c>
      <c r="F62" s="13" t="n">
        <v>7.5</v>
      </c>
      <c r="G62" s="13">
        <f>D62+F62</f>
        <v/>
      </c>
      <c r="H62" s="13">
        <f>E62+F62</f>
        <v/>
      </c>
      <c r="I62" s="13">
        <f>ABS(D62-E62)</f>
        <v/>
      </c>
      <c r="J62" s="13">
        <f>(D62-E62)^2</f>
        <v/>
      </c>
      <c r="K62" s="14">
        <f>IF(ABS(G62)&lt;=1E-8,"",ABS((G62-H62)/G62))</f>
        <v/>
      </c>
    </row>
    <row r="63">
      <c r="A63" s="11" t="n">
        <v>45504</v>
      </c>
      <c r="B63" s="12" t="inlineStr">
        <is>
          <t>GB</t>
        </is>
      </c>
      <c r="C63" s="12" t="inlineStr">
        <is>
          <t>Random walk</t>
        </is>
      </c>
      <c r="D63" s="13" t="n">
        <v>-0.1000000000000005</v>
      </c>
      <c r="E63" s="13" t="n">
        <v>0</v>
      </c>
      <c r="F63" s="13" t="n">
        <v>4.2</v>
      </c>
      <c r="G63" s="13">
        <f>D63+F63</f>
        <v/>
      </c>
      <c r="H63" s="13">
        <f>E63+F63</f>
        <v/>
      </c>
      <c r="I63" s="13">
        <f>ABS(D63-E63)</f>
        <v/>
      </c>
      <c r="J63" s="13">
        <f>(D63-E63)^2</f>
        <v/>
      </c>
      <c r="K63" s="14">
        <f>IF(ABS(G63)&lt;=1E-8,"",ABS((G63-H63)/G63))</f>
        <v/>
      </c>
    </row>
    <row r="64">
      <c r="A64" s="11" t="n">
        <v>45504</v>
      </c>
      <c r="B64" s="12" t="inlineStr">
        <is>
          <t>IT</t>
        </is>
      </c>
      <c r="C64" s="12" t="inlineStr">
        <is>
          <t>Random walk</t>
        </is>
      </c>
      <c r="D64" s="13" t="n">
        <v>-0.2999999999999998</v>
      </c>
      <c r="E64" s="13" t="n">
        <v>0</v>
      </c>
      <c r="F64" s="13" t="n">
        <v>6.7</v>
      </c>
      <c r="G64" s="13">
        <f>D64+F64</f>
        <v/>
      </c>
      <c r="H64" s="13">
        <f>E64+F64</f>
        <v/>
      </c>
      <c r="I64" s="13">
        <f>ABS(D64-E64)</f>
        <v/>
      </c>
      <c r="J64" s="13">
        <f>(D64-E64)^2</f>
        <v/>
      </c>
      <c r="K64" s="14">
        <f>IF(ABS(G64)&lt;=1E-8,"",ABS((G64-H64)/G64))</f>
        <v/>
      </c>
    </row>
    <row r="65">
      <c r="A65" s="11" t="n">
        <v>45504</v>
      </c>
      <c r="B65" s="12" t="inlineStr">
        <is>
          <t>JP</t>
        </is>
      </c>
      <c r="C65" s="12" t="inlineStr">
        <is>
          <t>Random walk</t>
        </is>
      </c>
      <c r="D65" s="13" t="n">
        <v>0.2000000000000001</v>
      </c>
      <c r="E65" s="13" t="n">
        <v>0</v>
      </c>
      <c r="F65" s="13" t="n">
        <v>2.5</v>
      </c>
      <c r="G65" s="13">
        <f>D65+F65</f>
        <v/>
      </c>
      <c r="H65" s="13">
        <f>E65+F65</f>
        <v/>
      </c>
      <c r="I65" s="13">
        <f>ABS(D65-E65)</f>
        <v/>
      </c>
      <c r="J65" s="13">
        <f>(D65-E65)^2</f>
        <v/>
      </c>
      <c r="K65" s="14">
        <f>IF(ABS(G65)&lt;=1E-8,"",ABS((G65-H65)/G65))</f>
        <v/>
      </c>
    </row>
    <row r="66">
      <c r="A66" s="11" t="n">
        <v>45504</v>
      </c>
      <c r="B66" s="12" t="inlineStr">
        <is>
          <t>KR</t>
        </is>
      </c>
      <c r="C66" s="12" t="inlineStr">
        <is>
          <t>Random walk</t>
        </is>
      </c>
      <c r="D66" s="13" t="n">
        <v>-0.0999999999999996</v>
      </c>
      <c r="E66" s="13" t="n">
        <v>0</v>
      </c>
      <c r="F66" s="13" t="n">
        <v>2.8</v>
      </c>
      <c r="G66" s="13">
        <f>D66+F66</f>
        <v/>
      </c>
      <c r="H66" s="13">
        <f>E66+F66</f>
        <v/>
      </c>
      <c r="I66" s="13">
        <f>ABS(D66-E66)</f>
        <v/>
      </c>
      <c r="J66" s="13">
        <f>(D66-E66)^2</f>
        <v/>
      </c>
      <c r="K66" s="14">
        <f>IF(ABS(G66)&lt;=1E-8,"",ABS((G66-H66)/G66))</f>
        <v/>
      </c>
    </row>
    <row r="67">
      <c r="A67" s="11" t="n">
        <v>45504</v>
      </c>
      <c r="B67" s="12" t="inlineStr">
        <is>
          <t>US</t>
        </is>
      </c>
      <c r="C67" s="12" t="inlineStr">
        <is>
          <t>Random walk</t>
        </is>
      </c>
      <c r="D67" s="13" t="n">
        <v>0.1000000000000005</v>
      </c>
      <c r="E67" s="13" t="n">
        <v>0</v>
      </c>
      <c r="F67" s="13" t="n">
        <v>4.1</v>
      </c>
      <c r="G67" s="13">
        <f>D67+F67</f>
        <v/>
      </c>
      <c r="H67" s="13">
        <f>E67+F67</f>
        <v/>
      </c>
      <c r="I67" s="13">
        <f>ABS(D67-E67)</f>
        <v/>
      </c>
      <c r="J67" s="13">
        <f>(D67-E67)^2</f>
        <v/>
      </c>
      <c r="K67" s="14">
        <f>IF(ABS(G67)&lt;=1E-8,"",ABS((G67-H67)/G67))</f>
        <v/>
      </c>
    </row>
    <row r="68">
      <c r="A68" s="11" t="n">
        <v>45535</v>
      </c>
      <c r="B68" s="12" t="inlineStr">
        <is>
          <t>AU</t>
        </is>
      </c>
      <c r="C68" s="12" t="inlineStr">
        <is>
          <t>Random walk</t>
        </is>
      </c>
      <c r="D68" s="13" t="n">
        <v>-0.0666090000000005</v>
      </c>
      <c r="E68" s="13" t="n">
        <v>0</v>
      </c>
      <c r="F68" s="13" t="n">
        <v>4.191932</v>
      </c>
      <c r="G68" s="13">
        <f>D68+F68</f>
        <v/>
      </c>
      <c r="H68" s="13">
        <f>E68+F68</f>
        <v/>
      </c>
      <c r="I68" s="13">
        <f>ABS(D68-E68)</f>
        <v/>
      </c>
      <c r="J68" s="13">
        <f>(D68-E68)^2</f>
        <v/>
      </c>
      <c r="K68" s="14">
        <f>IF(ABS(G68)&lt;=1E-8,"",ABS((G68-H68)/G68))</f>
        <v/>
      </c>
    </row>
    <row r="69">
      <c r="A69" s="11" t="n">
        <v>45535</v>
      </c>
      <c r="B69" s="12" t="inlineStr">
        <is>
          <t>CA</t>
        </is>
      </c>
      <c r="C69" s="12" t="inlineStr">
        <is>
          <t>Random walk</t>
        </is>
      </c>
      <c r="D69" s="13" t="n">
        <v>0.1999999999999993</v>
      </c>
      <c r="E69" s="13" t="n">
        <v>0</v>
      </c>
      <c r="F69" s="13" t="n">
        <v>6.4</v>
      </c>
      <c r="G69" s="13">
        <f>D69+F69</f>
        <v/>
      </c>
      <c r="H69" s="13">
        <f>E69+F69</f>
        <v/>
      </c>
      <c r="I69" s="13">
        <f>ABS(D69-E69)</f>
        <v/>
      </c>
      <c r="J69" s="13">
        <f>(D69-E69)^2</f>
        <v/>
      </c>
      <c r="K69" s="14">
        <f>IF(ABS(G69)&lt;=1E-8,"",ABS((G69-H69)/G69))</f>
        <v/>
      </c>
    </row>
    <row r="70">
      <c r="A70" s="11" t="n">
        <v>45535</v>
      </c>
      <c r="B70" s="12" t="inlineStr">
        <is>
          <t>DE</t>
        </is>
      </c>
      <c r="C70" s="12" t="inlineStr">
        <is>
          <t>Random walk</t>
        </is>
      </c>
      <c r="D70" s="13" t="n">
        <v>0</v>
      </c>
      <c r="E70" s="13" t="n">
        <v>0</v>
      </c>
      <c r="F70" s="13" t="n">
        <v>3.4</v>
      </c>
      <c r="G70" s="13">
        <f>D70+F70</f>
        <v/>
      </c>
      <c r="H70" s="13">
        <f>E70+F70</f>
        <v/>
      </c>
      <c r="I70" s="13">
        <f>ABS(D70-E70)</f>
        <v/>
      </c>
      <c r="J70" s="13">
        <f>(D70-E70)^2</f>
        <v/>
      </c>
      <c r="K70" s="14">
        <f>IF(ABS(G70)&lt;=1E-8,"",ABS((G70-H70)/G70))</f>
        <v/>
      </c>
    </row>
    <row r="71">
      <c r="A71" s="11" t="n">
        <v>45535</v>
      </c>
      <c r="B71" s="12" t="inlineStr">
        <is>
          <t>FR</t>
        </is>
      </c>
      <c r="C71" s="12" t="inlineStr">
        <is>
          <t>Random walk</t>
        </is>
      </c>
      <c r="D71" s="13" t="n">
        <v>0</v>
      </c>
      <c r="E71" s="13" t="n">
        <v>0</v>
      </c>
      <c r="F71" s="13" t="n">
        <v>7.5</v>
      </c>
      <c r="G71" s="13">
        <f>D71+F71</f>
        <v/>
      </c>
      <c r="H71" s="13">
        <f>E71+F71</f>
        <v/>
      </c>
      <c r="I71" s="13">
        <f>ABS(D71-E71)</f>
        <v/>
      </c>
      <c r="J71" s="13">
        <f>(D71-E71)^2</f>
        <v/>
      </c>
      <c r="K71" s="14">
        <f>IF(ABS(G71)&lt;=1E-8,"",ABS((G71-H71)/G71))</f>
        <v/>
      </c>
    </row>
    <row r="72">
      <c r="A72" s="11" t="n">
        <v>45535</v>
      </c>
      <c r="B72" s="12" t="inlineStr">
        <is>
          <t>GB</t>
        </is>
      </c>
      <c r="C72" s="12" t="inlineStr">
        <is>
          <t>Random walk</t>
        </is>
      </c>
      <c r="D72" s="13" t="n">
        <v>0.2000000000000001</v>
      </c>
      <c r="E72" s="13" t="n">
        <v>0</v>
      </c>
      <c r="F72" s="13" t="n">
        <v>4.1</v>
      </c>
      <c r="G72" s="13">
        <f>D72+F72</f>
        <v/>
      </c>
      <c r="H72" s="13">
        <f>E72+F72</f>
        <v/>
      </c>
      <c r="I72" s="13">
        <f>ABS(D72-E72)</f>
        <v/>
      </c>
      <c r="J72" s="13">
        <f>(D72-E72)^2</f>
        <v/>
      </c>
      <c r="K72" s="14">
        <f>IF(ABS(G72)&lt;=1E-8,"",ABS((G72-H72)/G72))</f>
        <v/>
      </c>
    </row>
    <row r="73">
      <c r="A73" s="11" t="n">
        <v>45535</v>
      </c>
      <c r="B73" s="12" t="inlineStr">
        <is>
          <t>IT</t>
        </is>
      </c>
      <c r="C73" s="12" t="inlineStr">
        <is>
          <t>Random walk</t>
        </is>
      </c>
      <c r="D73" s="13" t="n">
        <v>0</v>
      </c>
      <c r="E73" s="13" t="n">
        <v>0</v>
      </c>
      <c r="F73" s="13" t="n">
        <v>6.4</v>
      </c>
      <c r="G73" s="13">
        <f>D73+F73</f>
        <v/>
      </c>
      <c r="H73" s="13">
        <f>E73+F73</f>
        <v/>
      </c>
      <c r="I73" s="13">
        <f>ABS(D73-E73)</f>
        <v/>
      </c>
      <c r="J73" s="13">
        <f>(D73-E73)^2</f>
        <v/>
      </c>
      <c r="K73" s="14">
        <f>IF(ABS(G73)&lt;=1E-8,"",ABS((G73-H73)/G73))</f>
        <v/>
      </c>
    </row>
    <row r="74">
      <c r="A74" s="11" t="n">
        <v>45535</v>
      </c>
      <c r="B74" s="12" t="inlineStr">
        <is>
          <t>JP</t>
        </is>
      </c>
      <c r="C74" s="12" t="inlineStr">
        <is>
          <t>Random walk</t>
        </is>
      </c>
      <c r="D74" s="13" t="n">
        <v>-0.2000000000000001</v>
      </c>
      <c r="E74" s="13" t="n">
        <v>0</v>
      </c>
      <c r="F74" s="13" t="n">
        <v>2.7</v>
      </c>
      <c r="G74" s="13">
        <f>D74+F74</f>
        <v/>
      </c>
      <c r="H74" s="13">
        <f>E74+F74</f>
        <v/>
      </c>
      <c r="I74" s="13">
        <f>ABS(D74-E74)</f>
        <v/>
      </c>
      <c r="J74" s="13">
        <f>(D74-E74)^2</f>
        <v/>
      </c>
      <c r="K74" s="14">
        <f>IF(ABS(G74)&lt;=1E-8,"",ABS((G74-H74)/G74))</f>
        <v/>
      </c>
    </row>
    <row r="75">
      <c r="A75" s="11" t="n">
        <v>45535</v>
      </c>
      <c r="B75" s="12" t="inlineStr">
        <is>
          <t>KR</t>
        </is>
      </c>
      <c r="C75" s="12" t="inlineStr">
        <is>
          <t>Random walk</t>
        </is>
      </c>
      <c r="D75" s="13" t="n">
        <v>-0.1</v>
      </c>
      <c r="E75" s="13" t="n">
        <v>0</v>
      </c>
      <c r="F75" s="13" t="n">
        <v>2.7</v>
      </c>
      <c r="G75" s="13">
        <f>D75+F75</f>
        <v/>
      </c>
      <c r="H75" s="13">
        <f>E75+F75</f>
        <v/>
      </c>
      <c r="I75" s="13">
        <f>ABS(D75-E75)</f>
        <v/>
      </c>
      <c r="J75" s="13">
        <f>(D75-E75)^2</f>
        <v/>
      </c>
      <c r="K75" s="14">
        <f>IF(ABS(G75)&lt;=1E-8,"",ABS((G75-H75)/G75))</f>
        <v/>
      </c>
    </row>
    <row r="76">
      <c r="A76" s="11" t="n">
        <v>45535</v>
      </c>
      <c r="B76" s="12" t="inlineStr">
        <is>
          <t>US</t>
        </is>
      </c>
      <c r="C76" s="12" t="inlineStr">
        <is>
          <t>Random walk</t>
        </is>
      </c>
      <c r="D76" s="13" t="n">
        <v>0</v>
      </c>
      <c r="E76" s="13" t="n">
        <v>0</v>
      </c>
      <c r="F76" s="13" t="n">
        <v>4.2</v>
      </c>
      <c r="G76" s="13">
        <f>D76+F76</f>
        <v/>
      </c>
      <c r="H76" s="13">
        <f>E76+F76</f>
        <v/>
      </c>
      <c r="I76" s="13">
        <f>ABS(D76-E76)</f>
        <v/>
      </c>
      <c r="J76" s="13">
        <f>(D76-E76)^2</f>
        <v/>
      </c>
      <c r="K76" s="14">
        <f>IF(ABS(G76)&lt;=1E-8,"",ABS((G76-H76)/G76))</f>
        <v/>
      </c>
    </row>
    <row r="77">
      <c r="A77" s="11" t="n">
        <v>45565</v>
      </c>
      <c r="B77" s="12" t="inlineStr">
        <is>
          <t>AU</t>
        </is>
      </c>
      <c r="C77" s="12" t="inlineStr">
        <is>
          <t>Random walk</t>
        </is>
      </c>
      <c r="D77" s="13" t="n">
        <v>-0.1128520000000001</v>
      </c>
      <c r="E77" s="13" t="n">
        <v>0</v>
      </c>
      <c r="F77" s="13" t="n">
        <v>4.125323</v>
      </c>
      <c r="G77" s="13">
        <f>D77+F77</f>
        <v/>
      </c>
      <c r="H77" s="13">
        <f>E77+F77</f>
        <v/>
      </c>
      <c r="I77" s="13">
        <f>ABS(D77-E77)</f>
        <v/>
      </c>
      <c r="J77" s="13">
        <f>(D77-E77)^2</f>
        <v/>
      </c>
      <c r="K77" s="14">
        <f>IF(ABS(G77)&lt;=1E-8,"",ABS((G77-H77)/G77))</f>
        <v/>
      </c>
    </row>
    <row r="78">
      <c r="A78" s="11" t="n">
        <v>45565</v>
      </c>
      <c r="B78" s="12" t="inlineStr">
        <is>
          <t>CA</t>
        </is>
      </c>
      <c r="C78" s="12" t="inlineStr">
        <is>
          <t>Random walk</t>
        </is>
      </c>
      <c r="D78" s="13" t="n">
        <v>-0.0999999999999996</v>
      </c>
      <c r="E78" s="13" t="n">
        <v>0</v>
      </c>
      <c r="F78" s="13" t="n">
        <v>6.6</v>
      </c>
      <c r="G78" s="13">
        <f>D78+F78</f>
        <v/>
      </c>
      <c r="H78" s="13">
        <f>E78+F78</f>
        <v/>
      </c>
      <c r="I78" s="13">
        <f>ABS(D78-E78)</f>
        <v/>
      </c>
      <c r="J78" s="13">
        <f>(D78-E78)^2</f>
        <v/>
      </c>
      <c r="K78" s="14">
        <f>IF(ABS(G78)&lt;=1E-8,"",ABS((G78-H78)/G78))</f>
        <v/>
      </c>
    </row>
    <row r="79">
      <c r="A79" s="11" t="n">
        <v>45565</v>
      </c>
      <c r="B79" s="12" t="inlineStr">
        <is>
          <t>DE</t>
        </is>
      </c>
      <c r="C79" s="12" t="inlineStr">
        <is>
          <t>Random walk</t>
        </is>
      </c>
      <c r="D79" s="13" t="n">
        <v>0</v>
      </c>
      <c r="E79" s="13" t="n">
        <v>0</v>
      </c>
      <c r="F79" s="13" t="n">
        <v>3.4</v>
      </c>
      <c r="G79" s="13">
        <f>D79+F79</f>
        <v/>
      </c>
      <c r="H79" s="13">
        <f>E79+F79</f>
        <v/>
      </c>
      <c r="I79" s="13">
        <f>ABS(D79-E79)</f>
        <v/>
      </c>
      <c r="J79" s="13">
        <f>(D79-E79)^2</f>
        <v/>
      </c>
      <c r="K79" s="14">
        <f>IF(ABS(G79)&lt;=1E-8,"",ABS((G79-H79)/G79))</f>
        <v/>
      </c>
    </row>
    <row r="80">
      <c r="A80" s="11" t="n">
        <v>45565</v>
      </c>
      <c r="B80" s="12" t="inlineStr">
        <is>
          <t>FR</t>
        </is>
      </c>
      <c r="C80" s="12" t="inlineStr">
        <is>
          <t>Random walk</t>
        </is>
      </c>
      <c r="D80" s="13" t="n">
        <v>0</v>
      </c>
      <c r="E80" s="13" t="n">
        <v>0</v>
      </c>
      <c r="F80" s="13" t="n">
        <v>7.5</v>
      </c>
      <c r="G80" s="13">
        <f>D80+F80</f>
        <v/>
      </c>
      <c r="H80" s="13">
        <f>E80+F80</f>
        <v/>
      </c>
      <c r="I80" s="13">
        <f>ABS(D80-E80)</f>
        <v/>
      </c>
      <c r="J80" s="13">
        <f>(D80-E80)^2</f>
        <v/>
      </c>
      <c r="K80" s="14">
        <f>IF(ABS(G80)&lt;=1E-8,"",ABS((G80-H80)/G80))</f>
        <v/>
      </c>
    </row>
    <row r="81">
      <c r="A81" s="11" t="n">
        <v>45565</v>
      </c>
      <c r="B81" s="12" t="inlineStr">
        <is>
          <t>GB</t>
        </is>
      </c>
      <c r="C81" s="12" t="inlineStr">
        <is>
          <t>Random walk</t>
        </is>
      </c>
      <c r="D81" s="13" t="n">
        <v>-0.0999999999999996</v>
      </c>
      <c r="E81" s="13" t="n">
        <v>0</v>
      </c>
      <c r="F81" s="13" t="n">
        <v>4.3</v>
      </c>
      <c r="G81" s="13">
        <f>D81+F81</f>
        <v/>
      </c>
      <c r="H81" s="13">
        <f>E81+F81</f>
        <v/>
      </c>
      <c r="I81" s="13">
        <f>ABS(D81-E81)</f>
        <v/>
      </c>
      <c r="J81" s="13">
        <f>(D81-E81)^2</f>
        <v/>
      </c>
      <c r="K81" s="14">
        <f>IF(ABS(G81)&lt;=1E-8,"",ABS((G81-H81)/G81))</f>
        <v/>
      </c>
    </row>
    <row r="82">
      <c r="A82" s="11" t="n">
        <v>45565</v>
      </c>
      <c r="B82" s="12" t="inlineStr">
        <is>
          <t>IT</t>
        </is>
      </c>
      <c r="C82" s="12" t="inlineStr">
        <is>
          <t>Random walk</t>
        </is>
      </c>
      <c r="D82" s="13" t="n">
        <v>-0.3000000000000007</v>
      </c>
      <c r="E82" s="13" t="n">
        <v>0</v>
      </c>
      <c r="F82" s="13" t="n">
        <v>6.4</v>
      </c>
      <c r="G82" s="13">
        <f>D82+F82</f>
        <v/>
      </c>
      <c r="H82" s="13">
        <f>E82+F82</f>
        <v/>
      </c>
      <c r="I82" s="13">
        <f>ABS(D82-E82)</f>
        <v/>
      </c>
      <c r="J82" s="13">
        <f>(D82-E82)^2</f>
        <v/>
      </c>
      <c r="K82" s="14">
        <f>IF(ABS(G82)&lt;=1E-8,"",ABS((G82-H82)/G82))</f>
        <v/>
      </c>
    </row>
    <row r="83">
      <c r="A83" s="11" t="n">
        <v>45565</v>
      </c>
      <c r="B83" s="12" t="inlineStr">
        <is>
          <t>JP</t>
        </is>
      </c>
      <c r="C83" s="12" t="inlineStr">
        <is>
          <t>Random walk</t>
        </is>
      </c>
      <c r="D83" s="13" t="n">
        <v>-0.1</v>
      </c>
      <c r="E83" s="13" t="n">
        <v>0</v>
      </c>
      <c r="F83" s="13" t="n">
        <v>2.5</v>
      </c>
      <c r="G83" s="13">
        <f>D83+F83</f>
        <v/>
      </c>
      <c r="H83" s="13">
        <f>E83+F83</f>
        <v/>
      </c>
      <c r="I83" s="13">
        <f>ABS(D83-E83)</f>
        <v/>
      </c>
      <c r="J83" s="13">
        <f>(D83-E83)^2</f>
        <v/>
      </c>
      <c r="K83" s="14">
        <f>IF(ABS(G83)&lt;=1E-8,"",ABS((G83-H83)/G83))</f>
        <v/>
      </c>
    </row>
    <row r="84">
      <c r="A84" s="11" t="n">
        <v>45565</v>
      </c>
      <c r="B84" s="12" t="inlineStr">
        <is>
          <t>KR</t>
        </is>
      </c>
      <c r="C84" s="12" t="inlineStr">
        <is>
          <t>Random walk</t>
        </is>
      </c>
      <c r="D84" s="13" t="n">
        <v>0</v>
      </c>
      <c r="E84" s="13" t="n">
        <v>0</v>
      </c>
      <c r="F84" s="13" t="n">
        <v>2.6</v>
      </c>
      <c r="G84" s="13">
        <f>D84+F84</f>
        <v/>
      </c>
      <c r="H84" s="13">
        <f>E84+F84</f>
        <v/>
      </c>
      <c r="I84" s="13">
        <f>ABS(D84-E84)</f>
        <v/>
      </c>
      <c r="J84" s="13">
        <f>(D84-E84)^2</f>
        <v/>
      </c>
      <c r="K84" s="14">
        <f>IF(ABS(G84)&lt;=1E-8,"",ABS((G84-H84)/G84))</f>
        <v/>
      </c>
    </row>
    <row r="85">
      <c r="A85" s="11" t="n">
        <v>45565</v>
      </c>
      <c r="B85" s="12" t="inlineStr">
        <is>
          <t>US</t>
        </is>
      </c>
      <c r="C85" s="12" t="inlineStr">
        <is>
          <t>Random walk</t>
        </is>
      </c>
      <c r="D85" s="13" t="n">
        <v>-0.1000000000000005</v>
      </c>
      <c r="E85" s="13" t="n">
        <v>0</v>
      </c>
      <c r="F85" s="13" t="n">
        <v>4.2</v>
      </c>
      <c r="G85" s="13">
        <f>D85+F85</f>
        <v/>
      </c>
      <c r="H85" s="13">
        <f>E85+F85</f>
        <v/>
      </c>
      <c r="I85" s="13">
        <f>ABS(D85-E85)</f>
        <v/>
      </c>
      <c r="J85" s="13">
        <f>(D85-E85)^2</f>
        <v/>
      </c>
      <c r="K85" s="14">
        <f>IF(ABS(G85)&lt;=1E-8,"",ABS((G85-H85)/G85))</f>
        <v/>
      </c>
    </row>
    <row r="86">
      <c r="A86" s="11" t="n">
        <v>45596</v>
      </c>
      <c r="B86" s="12" t="inlineStr">
        <is>
          <t>AU</t>
        </is>
      </c>
      <c r="C86" s="12" t="inlineStr">
        <is>
          <t>Random walk</t>
        </is>
      </c>
      <c r="D86" s="13" t="n">
        <v>0.07834099999999999</v>
      </c>
      <c r="E86" s="13" t="n">
        <v>0</v>
      </c>
      <c r="F86" s="13" t="n">
        <v>4.012471</v>
      </c>
      <c r="G86" s="13">
        <f>D86+F86</f>
        <v/>
      </c>
      <c r="H86" s="13">
        <f>E86+F86</f>
        <v/>
      </c>
      <c r="I86" s="13">
        <f>ABS(D86-E86)</f>
        <v/>
      </c>
      <c r="J86" s="13">
        <f>(D86-E86)^2</f>
        <v/>
      </c>
      <c r="K86" s="14">
        <f>IF(ABS(G86)&lt;=1E-8,"",ABS((G86-H86)/G86))</f>
        <v/>
      </c>
    </row>
    <row r="87">
      <c r="A87" s="11" t="n">
        <v>45596</v>
      </c>
      <c r="B87" s="12" t="inlineStr">
        <is>
          <t>CA</t>
        </is>
      </c>
      <c r="C87" s="12" t="inlineStr">
        <is>
          <t>Random walk</t>
        </is>
      </c>
      <c r="D87" s="13" t="n">
        <v>0.0999999999999996</v>
      </c>
      <c r="E87" s="13" t="n">
        <v>0</v>
      </c>
      <c r="F87" s="13" t="n">
        <v>6.5</v>
      </c>
      <c r="G87" s="13">
        <f>D87+F87</f>
        <v/>
      </c>
      <c r="H87" s="13">
        <f>E87+F87</f>
        <v/>
      </c>
      <c r="I87" s="13">
        <f>ABS(D87-E87)</f>
        <v/>
      </c>
      <c r="J87" s="13">
        <f>(D87-E87)^2</f>
        <v/>
      </c>
      <c r="K87" s="14">
        <f>IF(ABS(G87)&lt;=1E-8,"",ABS((G87-H87)/G87))</f>
        <v/>
      </c>
    </row>
    <row r="88">
      <c r="A88" s="11" t="n">
        <v>45596</v>
      </c>
      <c r="B88" s="12" t="inlineStr">
        <is>
          <t>DE</t>
        </is>
      </c>
      <c r="C88" s="12" t="inlineStr">
        <is>
          <t>Random walk</t>
        </is>
      </c>
      <c r="D88" s="13" t="n">
        <v>0</v>
      </c>
      <c r="E88" s="13" t="n">
        <v>0</v>
      </c>
      <c r="F88" s="13" t="n">
        <v>3.4</v>
      </c>
      <c r="G88" s="13">
        <f>D88+F88</f>
        <v/>
      </c>
      <c r="H88" s="13">
        <f>E88+F88</f>
        <v/>
      </c>
      <c r="I88" s="13">
        <f>ABS(D88-E88)</f>
        <v/>
      </c>
      <c r="J88" s="13">
        <f>(D88-E88)^2</f>
        <v/>
      </c>
      <c r="K88" s="14">
        <f>IF(ABS(G88)&lt;=1E-8,"",ABS((G88-H88)/G88))</f>
        <v/>
      </c>
    </row>
    <row r="89">
      <c r="A89" s="11" t="n">
        <v>45596</v>
      </c>
      <c r="B89" s="12" t="inlineStr">
        <is>
          <t>FR</t>
        </is>
      </c>
      <c r="C89" s="12" t="inlineStr">
        <is>
          <t>Random walk</t>
        </is>
      </c>
      <c r="D89" s="13" t="n">
        <v>-0.0999999999999996</v>
      </c>
      <c r="E89" s="13" t="n">
        <v>0</v>
      </c>
      <c r="F89" s="13" t="n">
        <v>7.5</v>
      </c>
      <c r="G89" s="13">
        <f>D89+F89</f>
        <v/>
      </c>
      <c r="H89" s="13">
        <f>E89+F89</f>
        <v/>
      </c>
      <c r="I89" s="13">
        <f>ABS(D89-E89)</f>
        <v/>
      </c>
      <c r="J89" s="13">
        <f>(D89-E89)^2</f>
        <v/>
      </c>
      <c r="K89" s="14">
        <f>IF(ABS(G89)&lt;=1E-8,"",ABS((G89-H89)/G89))</f>
        <v/>
      </c>
    </row>
    <row r="90">
      <c r="A90" s="11" t="n">
        <v>45596</v>
      </c>
      <c r="B90" s="12" t="inlineStr">
        <is>
          <t>GB</t>
        </is>
      </c>
      <c r="C90" s="12" t="inlineStr">
        <is>
          <t>Random walk</t>
        </is>
      </c>
      <c r="D90" s="13" t="n">
        <v>0.2000000000000001</v>
      </c>
      <c r="E90" s="13" t="n">
        <v>0</v>
      </c>
      <c r="F90" s="13" t="n">
        <v>4.2</v>
      </c>
      <c r="G90" s="13">
        <f>D90+F90</f>
        <v/>
      </c>
      <c r="H90" s="13">
        <f>E90+F90</f>
        <v/>
      </c>
      <c r="I90" s="13">
        <f>ABS(D90-E90)</f>
        <v/>
      </c>
      <c r="J90" s="13">
        <f>(D90-E90)^2</f>
        <v/>
      </c>
      <c r="K90" s="14">
        <f>IF(ABS(G90)&lt;=1E-8,"",ABS((G90-H90)/G90))</f>
        <v/>
      </c>
    </row>
    <row r="91">
      <c r="A91" s="11" t="n">
        <v>45596</v>
      </c>
      <c r="B91" s="12" t="inlineStr">
        <is>
          <t>IT</t>
        </is>
      </c>
      <c r="C91" s="12" t="inlineStr">
        <is>
          <t>Random walk</t>
        </is>
      </c>
      <c r="D91" s="13" t="n">
        <v>0</v>
      </c>
      <c r="E91" s="13" t="n">
        <v>0</v>
      </c>
      <c r="F91" s="13" t="n">
        <v>6.1</v>
      </c>
      <c r="G91" s="13">
        <f>D91+F91</f>
        <v/>
      </c>
      <c r="H91" s="13">
        <f>E91+F91</f>
        <v/>
      </c>
      <c r="I91" s="13">
        <f>ABS(D91-E91)</f>
        <v/>
      </c>
      <c r="J91" s="13">
        <f>(D91-E91)^2</f>
        <v/>
      </c>
      <c r="K91" s="14">
        <f>IF(ABS(G91)&lt;=1E-8,"",ABS((G91-H91)/G91))</f>
        <v/>
      </c>
    </row>
    <row r="92">
      <c r="A92" s="11" t="n">
        <v>45596</v>
      </c>
      <c r="B92" s="12" t="inlineStr">
        <is>
          <t>JP</t>
        </is>
      </c>
      <c r="C92" s="12" t="inlineStr">
        <is>
          <t>Random walk</t>
        </is>
      </c>
      <c r="D92" s="13" t="n">
        <v>0.1</v>
      </c>
      <c r="E92" s="13" t="n">
        <v>0</v>
      </c>
      <c r="F92" s="13" t="n">
        <v>2.4</v>
      </c>
      <c r="G92" s="13">
        <f>D92+F92</f>
        <v/>
      </c>
      <c r="H92" s="13">
        <f>E92+F92</f>
        <v/>
      </c>
      <c r="I92" s="13">
        <f>ABS(D92-E92)</f>
        <v/>
      </c>
      <c r="J92" s="13">
        <f>(D92-E92)^2</f>
        <v/>
      </c>
      <c r="K92" s="14">
        <f>IF(ABS(G92)&lt;=1E-8,"",ABS((G92-H92)/G92))</f>
        <v/>
      </c>
    </row>
    <row r="93">
      <c r="A93" s="11" t="n">
        <v>45596</v>
      </c>
      <c r="B93" s="12" t="inlineStr">
        <is>
          <t>KR</t>
        </is>
      </c>
      <c r="C93" s="12" t="inlineStr">
        <is>
          <t>Random walk</t>
        </is>
      </c>
      <c r="D93" s="13" t="n">
        <v>0.1999999999999997</v>
      </c>
      <c r="E93" s="13" t="n">
        <v>0</v>
      </c>
      <c r="F93" s="13" t="n">
        <v>2.6</v>
      </c>
      <c r="G93" s="13">
        <f>D93+F93</f>
        <v/>
      </c>
      <c r="H93" s="13">
        <f>E93+F93</f>
        <v/>
      </c>
      <c r="I93" s="13">
        <f>ABS(D93-E93)</f>
        <v/>
      </c>
      <c r="J93" s="13">
        <f>(D93-E93)^2</f>
        <v/>
      </c>
      <c r="K93" s="14">
        <f>IF(ABS(G93)&lt;=1E-8,"",ABS((G93-H93)/G93))</f>
        <v/>
      </c>
    </row>
    <row r="94">
      <c r="A94" s="11" t="n">
        <v>45596</v>
      </c>
      <c r="B94" s="12" t="inlineStr">
        <is>
          <t>US</t>
        </is>
      </c>
      <c r="C94" s="12" t="inlineStr">
        <is>
          <t>Random walk</t>
        </is>
      </c>
      <c r="D94" s="13" t="n">
        <v>0</v>
      </c>
      <c r="E94" s="13" t="n">
        <v>0</v>
      </c>
      <c r="F94" s="13" t="n">
        <v>4.1</v>
      </c>
      <c r="G94" s="13">
        <f>D94+F94</f>
        <v/>
      </c>
      <c r="H94" s="13">
        <f>E94+F94</f>
        <v/>
      </c>
      <c r="I94" s="13">
        <f>ABS(D94-E94)</f>
        <v/>
      </c>
      <c r="J94" s="13">
        <f>(D94-E94)^2</f>
        <v/>
      </c>
      <c r="K94" s="14">
        <f>IF(ABS(G94)&lt;=1E-8,"",ABS((G94-H94)/G94))</f>
        <v/>
      </c>
    </row>
    <row r="95">
      <c r="A95" s="11" t="n">
        <v>45626</v>
      </c>
      <c r="B95" s="12" t="inlineStr">
        <is>
          <t>AU</t>
        </is>
      </c>
      <c r="C95" s="12" t="inlineStr">
        <is>
          <t>Random walk</t>
        </is>
      </c>
      <c r="D95" s="13" t="n">
        <v>-0.1543519999999998</v>
      </c>
      <c r="E95" s="13" t="n">
        <v>0</v>
      </c>
      <c r="F95" s="13" t="n">
        <v>4.090812</v>
      </c>
      <c r="G95" s="13">
        <f>D95+F95</f>
        <v/>
      </c>
      <c r="H95" s="13">
        <f>E95+F95</f>
        <v/>
      </c>
      <c r="I95" s="13">
        <f>ABS(D95-E95)</f>
        <v/>
      </c>
      <c r="J95" s="13">
        <f>(D95-E95)^2</f>
        <v/>
      </c>
      <c r="K95" s="14">
        <f>IF(ABS(G95)&lt;=1E-8,"",ABS((G95-H95)/G95))</f>
        <v/>
      </c>
    </row>
    <row r="96">
      <c r="A96" s="11" t="n">
        <v>45626</v>
      </c>
      <c r="B96" s="12" t="inlineStr">
        <is>
          <t>CA</t>
        </is>
      </c>
      <c r="C96" s="12" t="inlineStr">
        <is>
          <t>Random walk</t>
        </is>
      </c>
      <c r="D96" s="13" t="n">
        <v>0.4000000000000003</v>
      </c>
      <c r="E96" s="13" t="n">
        <v>0</v>
      </c>
      <c r="F96" s="13" t="n">
        <v>6.6</v>
      </c>
      <c r="G96" s="13">
        <f>D96+F96</f>
        <v/>
      </c>
      <c r="H96" s="13">
        <f>E96+F96</f>
        <v/>
      </c>
      <c r="I96" s="13">
        <f>ABS(D96-E96)</f>
        <v/>
      </c>
      <c r="J96" s="13">
        <f>(D96-E96)^2</f>
        <v/>
      </c>
      <c r="K96" s="14">
        <f>IF(ABS(G96)&lt;=1E-8,"",ABS((G96-H96)/G96))</f>
        <v/>
      </c>
    </row>
    <row r="97">
      <c r="A97" s="11" t="n">
        <v>45626</v>
      </c>
      <c r="B97" s="12" t="inlineStr">
        <is>
          <t>DE</t>
        </is>
      </c>
      <c r="C97" s="12" t="inlineStr">
        <is>
          <t>Random walk</t>
        </is>
      </c>
      <c r="D97" s="13" t="n">
        <v>0</v>
      </c>
      <c r="E97" s="13" t="n">
        <v>0</v>
      </c>
      <c r="F97" s="13" t="n">
        <v>3.4</v>
      </c>
      <c r="G97" s="13">
        <f>D97+F97</f>
        <v/>
      </c>
      <c r="H97" s="13">
        <f>E97+F97</f>
        <v/>
      </c>
      <c r="I97" s="13">
        <f>ABS(D97-E97)</f>
        <v/>
      </c>
      <c r="J97" s="13">
        <f>(D97-E97)^2</f>
        <v/>
      </c>
      <c r="K97" s="14">
        <f>IF(ABS(G97)&lt;=1E-8,"",ABS((G97-H97)/G97))</f>
        <v/>
      </c>
    </row>
    <row r="98">
      <c r="A98" s="11" t="n">
        <v>45626</v>
      </c>
      <c r="B98" s="12" t="inlineStr">
        <is>
          <t>FR</t>
        </is>
      </c>
      <c r="C98" s="12" t="inlineStr">
        <is>
          <t>Random walk</t>
        </is>
      </c>
      <c r="D98" s="13" t="n">
        <v>0</v>
      </c>
      <c r="E98" s="13" t="n">
        <v>0</v>
      </c>
      <c r="F98" s="13" t="n">
        <v>7.4</v>
      </c>
      <c r="G98" s="13">
        <f>D98+F98</f>
        <v/>
      </c>
      <c r="H98" s="13">
        <f>E98+F98</f>
        <v/>
      </c>
      <c r="I98" s="13">
        <f>ABS(D98-E98)</f>
        <v/>
      </c>
      <c r="J98" s="13">
        <f>(D98-E98)^2</f>
        <v/>
      </c>
      <c r="K98" s="14">
        <f>IF(ABS(G98)&lt;=1E-8,"",ABS((G98-H98)/G98))</f>
        <v/>
      </c>
    </row>
    <row r="99">
      <c r="A99" s="11" t="n">
        <v>45626</v>
      </c>
      <c r="B99" s="12" t="inlineStr">
        <is>
          <t>GB</t>
        </is>
      </c>
      <c r="C99" s="12" t="inlineStr">
        <is>
          <t>Random walk</t>
        </is>
      </c>
      <c r="D99" s="13" t="n">
        <v>0</v>
      </c>
      <c r="E99" s="13" t="n">
        <v>0</v>
      </c>
      <c r="F99" s="13" t="n">
        <v>4.4</v>
      </c>
      <c r="G99" s="13">
        <f>D99+F99</f>
        <v/>
      </c>
      <c r="H99" s="13">
        <f>E99+F99</f>
        <v/>
      </c>
      <c r="I99" s="13">
        <f>ABS(D99-E99)</f>
        <v/>
      </c>
      <c r="J99" s="13">
        <f>(D99-E99)^2</f>
        <v/>
      </c>
      <c r="K99" s="14">
        <f>IF(ABS(G99)&lt;=1E-8,"",ABS((G99-H99)/G99))</f>
        <v/>
      </c>
    </row>
    <row r="100">
      <c r="A100" s="11" t="n">
        <v>45626</v>
      </c>
      <c r="B100" s="12" t="inlineStr">
        <is>
          <t>IT</t>
        </is>
      </c>
      <c r="C100" s="12" t="inlineStr">
        <is>
          <t>Random walk</t>
        </is>
      </c>
      <c r="D100" s="13" t="n">
        <v>0.1000000000000005</v>
      </c>
      <c r="E100" s="13" t="n">
        <v>0</v>
      </c>
      <c r="F100" s="13" t="n">
        <v>6.1</v>
      </c>
      <c r="G100" s="13">
        <f>D100+F100</f>
        <v/>
      </c>
      <c r="H100" s="13">
        <f>E100+F100</f>
        <v/>
      </c>
      <c r="I100" s="13">
        <f>ABS(D100-E100)</f>
        <v/>
      </c>
      <c r="J100" s="13">
        <f>(D100-E100)^2</f>
        <v/>
      </c>
      <c r="K100" s="14">
        <f>IF(ABS(G100)&lt;=1E-8,"",ABS((G100-H100)/G100))</f>
        <v/>
      </c>
    </row>
    <row r="101">
      <c r="A101" s="11" t="n">
        <v>45626</v>
      </c>
      <c r="B101" s="12" t="inlineStr">
        <is>
          <t>JP</t>
        </is>
      </c>
      <c r="C101" s="12" t="inlineStr">
        <is>
          <t>Random walk</t>
        </is>
      </c>
      <c r="D101" s="13" t="n">
        <v>0</v>
      </c>
      <c r="E101" s="13" t="n">
        <v>0</v>
      </c>
      <c r="F101" s="13" t="n">
        <v>2.5</v>
      </c>
      <c r="G101" s="13">
        <f>D101+F101</f>
        <v/>
      </c>
      <c r="H101" s="13">
        <f>E101+F101</f>
        <v/>
      </c>
      <c r="I101" s="13">
        <f>ABS(D101-E101)</f>
        <v/>
      </c>
      <c r="J101" s="13">
        <f>(D101-E101)^2</f>
        <v/>
      </c>
      <c r="K101" s="14">
        <f>IF(ABS(G101)&lt;=1E-8,"",ABS((G101-H101)/G101))</f>
        <v/>
      </c>
    </row>
    <row r="102">
      <c r="A102" s="11" t="n">
        <v>45626</v>
      </c>
      <c r="B102" s="12" t="inlineStr">
        <is>
          <t>KR</t>
        </is>
      </c>
      <c r="C102" s="12" t="inlineStr">
        <is>
          <t>Random walk</t>
        </is>
      </c>
      <c r="D102" s="13" t="n">
        <v>0</v>
      </c>
      <c r="E102" s="13" t="n">
        <v>0</v>
      </c>
      <c r="F102" s="13" t="n">
        <v>2.8</v>
      </c>
      <c r="G102" s="13">
        <f>D102+F102</f>
        <v/>
      </c>
      <c r="H102" s="13">
        <f>E102+F102</f>
        <v/>
      </c>
      <c r="I102" s="13">
        <f>ABS(D102-E102)</f>
        <v/>
      </c>
      <c r="J102" s="13">
        <f>(D102-E102)^2</f>
        <v/>
      </c>
      <c r="K102" s="14">
        <f>IF(ABS(G102)&lt;=1E-8,"",ABS((G102-H102)/G102))</f>
        <v/>
      </c>
    </row>
    <row r="103">
      <c r="A103" s="11" t="n">
        <v>45626</v>
      </c>
      <c r="B103" s="12" t="inlineStr">
        <is>
          <t>US</t>
        </is>
      </c>
      <c r="C103" s="12" t="inlineStr">
        <is>
          <t>Random walk</t>
        </is>
      </c>
      <c r="D103" s="13" t="n">
        <v>0.1000000000000005</v>
      </c>
      <c r="E103" s="13" t="n">
        <v>0</v>
      </c>
      <c r="F103" s="13" t="n">
        <v>4.1</v>
      </c>
      <c r="G103" s="13">
        <f>D103+F103</f>
        <v/>
      </c>
      <c r="H103" s="13">
        <f>E103+F103</f>
        <v/>
      </c>
      <c r="I103" s="13">
        <f>ABS(D103-E103)</f>
        <v/>
      </c>
      <c r="J103" s="13">
        <f>(D103-E103)^2</f>
        <v/>
      </c>
      <c r="K103" s="14">
        <f>IF(ABS(G103)&lt;=1E-8,"",ABS((G103-H103)/G103))</f>
        <v/>
      </c>
    </row>
    <row r="104">
      <c r="A104" s="11" t="n">
        <v>45657</v>
      </c>
      <c r="B104" s="12" t="inlineStr">
        <is>
          <t>AU</t>
        </is>
      </c>
      <c r="C104" s="12" t="inlineStr">
        <is>
          <t>Random walk</t>
        </is>
      </c>
      <c r="D104" s="13" t="n">
        <v>0.0621260000000001</v>
      </c>
      <c r="E104" s="13" t="n">
        <v>0</v>
      </c>
      <c r="F104" s="13" t="n">
        <v>3.93646</v>
      </c>
      <c r="G104" s="13">
        <f>D104+F104</f>
        <v/>
      </c>
      <c r="H104" s="13">
        <f>E104+F104</f>
        <v/>
      </c>
      <c r="I104" s="13">
        <f>ABS(D104-E104)</f>
        <v/>
      </c>
      <c r="J104" s="13">
        <f>(D104-E104)^2</f>
        <v/>
      </c>
      <c r="K104" s="14">
        <f>IF(ABS(G104)&lt;=1E-8,"",ABS((G104-H104)/G104))</f>
        <v/>
      </c>
    </row>
    <row r="105">
      <c r="A105" s="11" t="n">
        <v>45657</v>
      </c>
      <c r="B105" s="12" t="inlineStr">
        <is>
          <t>CA</t>
        </is>
      </c>
      <c r="C105" s="12" t="inlineStr">
        <is>
          <t>Random walk</t>
        </is>
      </c>
      <c r="D105" s="13" t="n">
        <v>-0.2999999999999998</v>
      </c>
      <c r="E105" s="13" t="n">
        <v>0</v>
      </c>
      <c r="F105" s="13" t="n">
        <v>7</v>
      </c>
      <c r="G105" s="13">
        <f>D105+F105</f>
        <v/>
      </c>
      <c r="H105" s="13">
        <f>E105+F105</f>
        <v/>
      </c>
      <c r="I105" s="13">
        <f>ABS(D105-E105)</f>
        <v/>
      </c>
      <c r="J105" s="13">
        <f>(D105-E105)^2</f>
        <v/>
      </c>
      <c r="K105" s="14">
        <f>IF(ABS(G105)&lt;=1E-8,"",ABS((G105-H105)/G105))</f>
        <v/>
      </c>
    </row>
    <row r="106">
      <c r="A106" s="11" t="n">
        <v>45657</v>
      </c>
      <c r="B106" s="12" t="inlineStr">
        <is>
          <t>DE</t>
        </is>
      </c>
      <c r="C106" s="12" t="inlineStr">
        <is>
          <t>Random walk</t>
        </is>
      </c>
      <c r="D106" s="13" t="n">
        <v>0.1</v>
      </c>
      <c r="E106" s="13" t="n">
        <v>0</v>
      </c>
      <c r="F106" s="13" t="n">
        <v>3.4</v>
      </c>
      <c r="G106" s="13">
        <f>D106+F106</f>
        <v/>
      </c>
      <c r="H106" s="13">
        <f>E106+F106</f>
        <v/>
      </c>
      <c r="I106" s="13">
        <f>ABS(D106-E106)</f>
        <v/>
      </c>
      <c r="J106" s="13">
        <f>(D106-E106)^2</f>
        <v/>
      </c>
      <c r="K106" s="14">
        <f>IF(ABS(G106)&lt;=1E-8,"",ABS((G106-H106)/G106))</f>
        <v/>
      </c>
    </row>
    <row r="107">
      <c r="A107" s="11" t="n">
        <v>45657</v>
      </c>
      <c r="B107" s="12" t="inlineStr">
        <is>
          <t>FR</t>
        </is>
      </c>
      <c r="C107" s="12" t="inlineStr">
        <is>
          <t>Random walk</t>
        </is>
      </c>
      <c r="D107" s="13" t="n">
        <v>-0.1000000000000005</v>
      </c>
      <c r="E107" s="13" t="n">
        <v>0</v>
      </c>
      <c r="F107" s="13" t="n">
        <v>7.4</v>
      </c>
      <c r="G107" s="13">
        <f>D107+F107</f>
        <v/>
      </c>
      <c r="H107" s="13">
        <f>E107+F107</f>
        <v/>
      </c>
      <c r="I107" s="13">
        <f>ABS(D107-E107)</f>
        <v/>
      </c>
      <c r="J107" s="13">
        <f>(D107-E107)^2</f>
        <v/>
      </c>
      <c r="K107" s="14">
        <f>IF(ABS(G107)&lt;=1E-8,"",ABS((G107-H107)/G107))</f>
        <v/>
      </c>
    </row>
    <row r="108">
      <c r="A108" s="11" t="n">
        <v>45657</v>
      </c>
      <c r="B108" s="12" t="inlineStr">
        <is>
          <t>GB</t>
        </is>
      </c>
      <c r="C108" s="12" t="inlineStr">
        <is>
          <t>Random walk</t>
        </is>
      </c>
      <c r="D108" s="13" t="n">
        <v>0</v>
      </c>
      <c r="E108" s="13" t="n">
        <v>0</v>
      </c>
      <c r="F108" s="13" t="n">
        <v>4.4</v>
      </c>
      <c r="G108" s="13">
        <f>D108+F108</f>
        <v/>
      </c>
      <c r="H108" s="13">
        <f>E108+F108</f>
        <v/>
      </c>
      <c r="I108" s="13">
        <f>ABS(D108-E108)</f>
        <v/>
      </c>
      <c r="J108" s="13">
        <f>(D108-E108)^2</f>
        <v/>
      </c>
      <c r="K108" s="14">
        <f>IF(ABS(G108)&lt;=1E-8,"",ABS((G108-H108)/G108))</f>
        <v/>
      </c>
    </row>
    <row r="109">
      <c r="A109" s="11" t="n">
        <v>45657</v>
      </c>
      <c r="B109" s="12" t="inlineStr">
        <is>
          <t>IT</t>
        </is>
      </c>
      <c r="C109" s="12" t="inlineStr">
        <is>
          <t>Random walk</t>
        </is>
      </c>
      <c r="D109" s="13" t="n">
        <v>0.2000000000000001</v>
      </c>
      <c r="E109" s="13" t="n">
        <v>0</v>
      </c>
      <c r="F109" s="13" t="n">
        <v>6.2</v>
      </c>
      <c r="G109" s="13">
        <f>D109+F109</f>
        <v/>
      </c>
      <c r="H109" s="13">
        <f>E109+F109</f>
        <v/>
      </c>
      <c r="I109" s="13">
        <f>ABS(D109-E109)</f>
        <v/>
      </c>
      <c r="J109" s="13">
        <f>(D109-E109)^2</f>
        <v/>
      </c>
      <c r="K109" s="14">
        <f>IF(ABS(G109)&lt;=1E-8,"",ABS((G109-H109)/G109))</f>
        <v/>
      </c>
    </row>
    <row r="110">
      <c r="A110" s="11" t="n">
        <v>45657</v>
      </c>
      <c r="B110" s="12" t="inlineStr">
        <is>
          <t>JP</t>
        </is>
      </c>
      <c r="C110" s="12" t="inlineStr">
        <is>
          <t>Random walk</t>
        </is>
      </c>
      <c r="D110" s="13" t="n">
        <v>0</v>
      </c>
      <c r="E110" s="13" t="n">
        <v>0</v>
      </c>
      <c r="F110" s="13" t="n">
        <v>2.5</v>
      </c>
      <c r="G110" s="13">
        <f>D110+F110</f>
        <v/>
      </c>
      <c r="H110" s="13">
        <f>E110+F110</f>
        <v/>
      </c>
      <c r="I110" s="13">
        <f>ABS(D110-E110)</f>
        <v/>
      </c>
      <c r="J110" s="13">
        <f>(D110-E110)^2</f>
        <v/>
      </c>
      <c r="K110" s="14">
        <f>IF(ABS(G110)&lt;=1E-8,"",ABS((G110-H110)/G110))</f>
        <v/>
      </c>
    </row>
    <row r="111">
      <c r="A111" s="11" t="n">
        <v>45657</v>
      </c>
      <c r="B111" s="12" t="inlineStr">
        <is>
          <t>KR</t>
        </is>
      </c>
      <c r="C111" s="12" t="inlineStr">
        <is>
          <t>Random walk</t>
        </is>
      </c>
      <c r="D111" s="13" t="n">
        <v>0.3000000000000002</v>
      </c>
      <c r="E111" s="13" t="n">
        <v>0</v>
      </c>
      <c r="F111" s="13" t="n">
        <v>2.8</v>
      </c>
      <c r="G111" s="13">
        <f>D111+F111</f>
        <v/>
      </c>
      <c r="H111" s="13">
        <f>E111+F111</f>
        <v/>
      </c>
      <c r="I111" s="13">
        <f>ABS(D111-E111)</f>
        <v/>
      </c>
      <c r="J111" s="13">
        <f>(D111-E111)^2</f>
        <v/>
      </c>
      <c r="K111" s="14">
        <f>IF(ABS(G111)&lt;=1E-8,"",ABS((G111-H111)/G111))</f>
        <v/>
      </c>
    </row>
    <row r="112">
      <c r="A112" s="11" t="n">
        <v>45657</v>
      </c>
      <c r="B112" s="12" t="inlineStr">
        <is>
          <t>US</t>
        </is>
      </c>
      <c r="C112" s="12" t="inlineStr">
        <is>
          <t>Random walk</t>
        </is>
      </c>
      <c r="D112" s="13" t="n">
        <v>-0.1000000000000005</v>
      </c>
      <c r="E112" s="13" t="n">
        <v>0</v>
      </c>
      <c r="F112" s="13" t="n">
        <v>4.2</v>
      </c>
      <c r="G112" s="13">
        <f>D112+F112</f>
        <v/>
      </c>
      <c r="H112" s="13">
        <f>E112+F112</f>
        <v/>
      </c>
      <c r="I112" s="13">
        <f>ABS(D112-E112)</f>
        <v/>
      </c>
      <c r="J112" s="13">
        <f>(D112-E112)^2</f>
        <v/>
      </c>
      <c r="K112" s="14">
        <f>IF(ABS(G112)&lt;=1E-8,"",ABS((G112-H112)/G112))</f>
        <v/>
      </c>
    </row>
    <row r="113">
      <c r="A113" s="11" t="n">
        <v>45688</v>
      </c>
      <c r="B113" s="12" t="inlineStr">
        <is>
          <t>AU</t>
        </is>
      </c>
      <c r="C113" s="12" t="inlineStr">
        <is>
          <t>Random walk</t>
        </is>
      </c>
      <c r="D113" s="13" t="n">
        <v>0.1283800000000003</v>
      </c>
      <c r="E113" s="13" t="n">
        <v>0</v>
      </c>
      <c r="F113" s="13" t="n">
        <v>3.998586</v>
      </c>
      <c r="G113" s="13">
        <f>D113+F113</f>
        <v/>
      </c>
      <c r="H113" s="13">
        <f>E113+F113</f>
        <v/>
      </c>
      <c r="I113" s="13">
        <f>ABS(D113-E113)</f>
        <v/>
      </c>
      <c r="J113" s="13">
        <f>(D113-E113)^2</f>
        <v/>
      </c>
      <c r="K113" s="14">
        <f>IF(ABS(G113)&lt;=1E-8,"",ABS((G113-H113)/G113))</f>
        <v/>
      </c>
    </row>
    <row r="114">
      <c r="A114" s="11" t="n">
        <v>45688</v>
      </c>
      <c r="B114" s="12" t="inlineStr">
        <is>
          <t>CA</t>
        </is>
      </c>
      <c r="C114" s="12" t="inlineStr">
        <is>
          <t>Random walk</t>
        </is>
      </c>
      <c r="D114" s="13" t="n">
        <v>0</v>
      </c>
      <c r="E114" s="13" t="n">
        <v>0</v>
      </c>
      <c r="F114" s="13" t="n">
        <v>6.7</v>
      </c>
      <c r="G114" s="13">
        <f>D114+F114</f>
        <v/>
      </c>
      <c r="H114" s="13">
        <f>E114+F114</f>
        <v/>
      </c>
      <c r="I114" s="13">
        <f>ABS(D114-E114)</f>
        <v/>
      </c>
      <c r="J114" s="13">
        <f>(D114-E114)^2</f>
        <v/>
      </c>
      <c r="K114" s="14">
        <f>IF(ABS(G114)&lt;=1E-8,"",ABS((G114-H114)/G114))</f>
        <v/>
      </c>
    </row>
    <row r="115">
      <c r="A115" s="11" t="n">
        <v>45688</v>
      </c>
      <c r="B115" s="12" t="inlineStr">
        <is>
          <t>DE</t>
        </is>
      </c>
      <c r="C115" s="12" t="inlineStr">
        <is>
          <t>Random walk</t>
        </is>
      </c>
      <c r="D115" s="13" t="n">
        <v>0</v>
      </c>
      <c r="E115" s="13" t="n">
        <v>0</v>
      </c>
      <c r="F115" s="13" t="n">
        <v>3.5</v>
      </c>
      <c r="G115" s="13">
        <f>D115+F115</f>
        <v/>
      </c>
      <c r="H115" s="13">
        <f>E115+F115</f>
        <v/>
      </c>
      <c r="I115" s="13">
        <f>ABS(D115-E115)</f>
        <v/>
      </c>
      <c r="J115" s="13">
        <f>(D115-E115)^2</f>
        <v/>
      </c>
      <c r="K115" s="14">
        <f>IF(ABS(G115)&lt;=1E-8,"",ABS((G115-H115)/G115))</f>
        <v/>
      </c>
    </row>
    <row r="116">
      <c r="A116" s="11" t="n">
        <v>45688</v>
      </c>
      <c r="B116" s="12" t="inlineStr">
        <is>
          <t>FR</t>
        </is>
      </c>
      <c r="C116" s="12" t="inlineStr">
        <is>
          <t>Random walk</t>
        </is>
      </c>
      <c r="D116" s="13" t="n">
        <v>0</v>
      </c>
      <c r="E116" s="13" t="n">
        <v>0</v>
      </c>
      <c r="F116" s="13" t="n">
        <v>7.3</v>
      </c>
      <c r="G116" s="13">
        <f>D116+F116</f>
        <v/>
      </c>
      <c r="H116" s="13">
        <f>E116+F116</f>
        <v/>
      </c>
      <c r="I116" s="13">
        <f>ABS(D116-E116)</f>
        <v/>
      </c>
      <c r="J116" s="13">
        <f>(D116-E116)^2</f>
        <v/>
      </c>
      <c r="K116" s="14">
        <f>IF(ABS(G116)&lt;=1E-8,"",ABS((G116-H116)/G116))</f>
        <v/>
      </c>
    </row>
    <row r="117">
      <c r="A117" s="11" t="n">
        <v>45688</v>
      </c>
      <c r="B117" s="12" t="inlineStr">
        <is>
          <t>GB</t>
        </is>
      </c>
      <c r="C117" s="12" t="inlineStr">
        <is>
          <t>Random walk</t>
        </is>
      </c>
      <c r="D117" s="13" t="n">
        <v>0.0999999999999996</v>
      </c>
      <c r="E117" s="13" t="n">
        <v>0</v>
      </c>
      <c r="F117" s="13" t="n">
        <v>4.4</v>
      </c>
      <c r="G117" s="13">
        <f>D117+F117</f>
        <v/>
      </c>
      <c r="H117" s="13">
        <f>E117+F117</f>
        <v/>
      </c>
      <c r="I117" s="13">
        <f>ABS(D117-E117)</f>
        <v/>
      </c>
      <c r="J117" s="13">
        <f>(D117-E117)^2</f>
        <v/>
      </c>
      <c r="K117" s="14">
        <f>IF(ABS(G117)&lt;=1E-8,"",ABS((G117-H117)/G117))</f>
        <v/>
      </c>
    </row>
    <row r="118">
      <c r="A118" s="11" t="n">
        <v>45688</v>
      </c>
      <c r="B118" s="12" t="inlineStr">
        <is>
          <t>IT</t>
        </is>
      </c>
      <c r="C118" s="12" t="inlineStr">
        <is>
          <t>Random walk</t>
        </is>
      </c>
      <c r="D118" s="13" t="n">
        <v>0.0999999999999996</v>
      </c>
      <c r="E118" s="13" t="n">
        <v>0</v>
      </c>
      <c r="F118" s="13" t="n">
        <v>6.4</v>
      </c>
      <c r="G118" s="13">
        <f>D118+F118</f>
        <v/>
      </c>
      <c r="H118" s="13">
        <f>E118+F118</f>
        <v/>
      </c>
      <c r="I118" s="13">
        <f>ABS(D118-E118)</f>
        <v/>
      </c>
      <c r="J118" s="13">
        <f>(D118-E118)^2</f>
        <v/>
      </c>
      <c r="K118" s="14">
        <f>IF(ABS(G118)&lt;=1E-8,"",ABS((G118-H118)/G118))</f>
        <v/>
      </c>
    </row>
    <row r="119">
      <c r="A119" s="11" t="n">
        <v>45688</v>
      </c>
      <c r="B119" s="12" t="inlineStr">
        <is>
          <t>JP</t>
        </is>
      </c>
      <c r="C119" s="12" t="inlineStr">
        <is>
          <t>Random walk</t>
        </is>
      </c>
      <c r="D119" s="13" t="n">
        <v>0</v>
      </c>
      <c r="E119" s="13" t="n">
        <v>0</v>
      </c>
      <c r="F119" s="13" t="n">
        <v>2.5</v>
      </c>
      <c r="G119" s="13">
        <f>D119+F119</f>
        <v/>
      </c>
      <c r="H119" s="13">
        <f>E119+F119</f>
        <v/>
      </c>
      <c r="I119" s="13">
        <f>ABS(D119-E119)</f>
        <v/>
      </c>
      <c r="J119" s="13">
        <f>(D119-E119)^2</f>
        <v/>
      </c>
      <c r="K119" s="14">
        <f>IF(ABS(G119)&lt;=1E-8,"",ABS((G119-H119)/G119))</f>
        <v/>
      </c>
    </row>
    <row r="120">
      <c r="A120" s="11" t="n">
        <v>45688</v>
      </c>
      <c r="B120" s="12" t="inlineStr">
        <is>
          <t>KR</t>
        </is>
      </c>
      <c r="C120" s="12" t="inlineStr">
        <is>
          <t>Random walk</t>
        </is>
      </c>
      <c r="D120" s="13" t="n">
        <v>-0.3000000000000002</v>
      </c>
      <c r="E120" s="13" t="n">
        <v>0</v>
      </c>
      <c r="F120" s="13" t="n">
        <v>3.1</v>
      </c>
      <c r="G120" s="13">
        <f>D120+F120</f>
        <v/>
      </c>
      <c r="H120" s="13">
        <f>E120+F120</f>
        <v/>
      </c>
      <c r="I120" s="13">
        <f>ABS(D120-E120)</f>
        <v/>
      </c>
      <c r="J120" s="13">
        <f>(D120-E120)^2</f>
        <v/>
      </c>
      <c r="K120" s="14">
        <f>IF(ABS(G120)&lt;=1E-8,"",ABS((G120-H120)/G120))</f>
        <v/>
      </c>
    </row>
    <row r="121">
      <c r="A121" s="11" t="n">
        <v>45688</v>
      </c>
      <c r="B121" s="12" t="inlineStr">
        <is>
          <t>US</t>
        </is>
      </c>
      <c r="C121" s="12" t="inlineStr">
        <is>
          <t>Random walk</t>
        </is>
      </c>
      <c r="D121" s="13" t="n">
        <v>-0.0999999999999996</v>
      </c>
      <c r="E121" s="13" t="n">
        <v>0</v>
      </c>
      <c r="F121" s="13" t="n">
        <v>4.1</v>
      </c>
      <c r="G121" s="13">
        <f>D121+F121</f>
        <v/>
      </c>
      <c r="H121" s="13">
        <f>E121+F121</f>
        <v/>
      </c>
      <c r="I121" s="13">
        <f>ABS(D121-E121)</f>
        <v/>
      </c>
      <c r="J121" s="13">
        <f>(D121-E121)^2</f>
        <v/>
      </c>
      <c r="K121" s="14">
        <f>IF(ABS(G121)&lt;=1E-8,"",ABS((G121-H121)/G121))</f>
        <v/>
      </c>
    </row>
    <row r="122">
      <c r="A122" s="11" t="n">
        <v>45716</v>
      </c>
      <c r="B122" s="12" t="inlineStr">
        <is>
          <t>AU</t>
        </is>
      </c>
      <c r="C122" s="12" t="inlineStr">
        <is>
          <t>Random walk</t>
        </is>
      </c>
      <c r="D122" s="13" t="n">
        <v>-0.0528409999999999</v>
      </c>
      <c r="E122" s="13" t="n">
        <v>0</v>
      </c>
      <c r="F122" s="13" t="n">
        <v>4.126966</v>
      </c>
      <c r="G122" s="13">
        <f>D122+F122</f>
        <v/>
      </c>
      <c r="H122" s="13">
        <f>E122+F122</f>
        <v/>
      </c>
      <c r="I122" s="13">
        <f>ABS(D122-E122)</f>
        <v/>
      </c>
      <c r="J122" s="13">
        <f>(D122-E122)^2</f>
        <v/>
      </c>
      <c r="K122" s="14">
        <f>IF(ABS(G122)&lt;=1E-8,"",ABS((G122-H122)/G122))</f>
        <v/>
      </c>
    </row>
    <row r="123">
      <c r="A123" s="11" t="n">
        <v>45716</v>
      </c>
      <c r="B123" s="12" t="inlineStr">
        <is>
          <t>CA</t>
        </is>
      </c>
      <c r="C123" s="12" t="inlineStr">
        <is>
          <t>Random walk</t>
        </is>
      </c>
      <c r="D123" s="13" t="n">
        <v>-0.1000000000000005</v>
      </c>
      <c r="E123" s="13" t="n">
        <v>0</v>
      </c>
      <c r="F123" s="13" t="n">
        <v>6.7</v>
      </c>
      <c r="G123" s="13">
        <f>D123+F123</f>
        <v/>
      </c>
      <c r="H123" s="13">
        <f>E123+F123</f>
        <v/>
      </c>
      <c r="I123" s="13">
        <f>ABS(D123-E123)</f>
        <v/>
      </c>
      <c r="J123" s="13">
        <f>(D123-E123)^2</f>
        <v/>
      </c>
      <c r="K123" s="14">
        <f>IF(ABS(G123)&lt;=1E-8,"",ABS((G123-H123)/G123))</f>
        <v/>
      </c>
    </row>
    <row r="124">
      <c r="A124" s="11" t="n">
        <v>45716</v>
      </c>
      <c r="B124" s="12" t="inlineStr">
        <is>
          <t>DE</t>
        </is>
      </c>
      <c r="C124" s="12" t="inlineStr">
        <is>
          <t>Random walk</t>
        </is>
      </c>
      <c r="D124" s="13" t="n">
        <v>0.1</v>
      </c>
      <c r="E124" s="13" t="n">
        <v>0</v>
      </c>
      <c r="F124" s="13" t="n">
        <v>3.5</v>
      </c>
      <c r="G124" s="13">
        <f>D124+F124</f>
        <v/>
      </c>
      <c r="H124" s="13">
        <f>E124+F124</f>
        <v/>
      </c>
      <c r="I124" s="13">
        <f>ABS(D124-E124)</f>
        <v/>
      </c>
      <c r="J124" s="13">
        <f>(D124-E124)^2</f>
        <v/>
      </c>
      <c r="K124" s="14">
        <f>IF(ABS(G124)&lt;=1E-8,"",ABS((G124-H124)/G124))</f>
        <v/>
      </c>
    </row>
    <row r="125">
      <c r="A125" s="11" t="n">
        <v>45716</v>
      </c>
      <c r="B125" s="12" t="inlineStr">
        <is>
          <t>FR</t>
        </is>
      </c>
      <c r="C125" s="12" t="inlineStr">
        <is>
          <t>Random walk</t>
        </is>
      </c>
      <c r="D125" s="13" t="n">
        <v>0.2000000000000001</v>
      </c>
      <c r="E125" s="13" t="n">
        <v>0</v>
      </c>
      <c r="F125" s="13" t="n">
        <v>7.3</v>
      </c>
      <c r="G125" s="13">
        <f>D125+F125</f>
        <v/>
      </c>
      <c r="H125" s="13">
        <f>E125+F125</f>
        <v/>
      </c>
      <c r="I125" s="13">
        <f>ABS(D125-E125)</f>
        <v/>
      </c>
      <c r="J125" s="13">
        <f>(D125-E125)^2</f>
        <v/>
      </c>
      <c r="K125" s="14">
        <f>IF(ABS(G125)&lt;=1E-8,"",ABS((G125-H125)/G125))</f>
        <v/>
      </c>
    </row>
    <row r="126">
      <c r="A126" s="11" t="n">
        <v>45716</v>
      </c>
      <c r="B126" s="12" t="inlineStr">
        <is>
          <t>GB</t>
        </is>
      </c>
      <c r="C126" s="12" t="inlineStr">
        <is>
          <t>Random walk</t>
        </is>
      </c>
      <c r="D126" s="13" t="n">
        <v>0.0999999999999996</v>
      </c>
      <c r="E126" s="13" t="n">
        <v>0</v>
      </c>
      <c r="F126" s="13" t="n">
        <v>4.5</v>
      </c>
      <c r="G126" s="13">
        <f>D126+F126</f>
        <v/>
      </c>
      <c r="H126" s="13">
        <f>E126+F126</f>
        <v/>
      </c>
      <c r="I126" s="13">
        <f>ABS(D126-E126)</f>
        <v/>
      </c>
      <c r="J126" s="13">
        <f>(D126-E126)^2</f>
        <v/>
      </c>
      <c r="K126" s="14">
        <f>IF(ABS(G126)&lt;=1E-8,"",ABS((G126-H126)/G126))</f>
        <v/>
      </c>
    </row>
    <row r="127">
      <c r="A127" s="11" t="n">
        <v>45716</v>
      </c>
      <c r="B127" s="12" t="inlineStr">
        <is>
          <t>IT</t>
        </is>
      </c>
      <c r="C127" s="12" t="inlineStr">
        <is>
          <t>Random walk</t>
        </is>
      </c>
      <c r="D127" s="13" t="n">
        <v>-0.4000000000000003</v>
      </c>
      <c r="E127" s="13" t="n">
        <v>0</v>
      </c>
      <c r="F127" s="13" t="n">
        <v>6.5</v>
      </c>
      <c r="G127" s="13">
        <f>D127+F127</f>
        <v/>
      </c>
      <c r="H127" s="13">
        <f>E127+F127</f>
        <v/>
      </c>
      <c r="I127" s="13">
        <f>ABS(D127-E127)</f>
        <v/>
      </c>
      <c r="J127" s="13">
        <f>(D127-E127)^2</f>
        <v/>
      </c>
      <c r="K127" s="14">
        <f>IF(ABS(G127)&lt;=1E-8,"",ABS((G127-H127)/G127))</f>
        <v/>
      </c>
    </row>
    <row r="128">
      <c r="A128" s="11" t="n">
        <v>45716</v>
      </c>
      <c r="B128" s="12" t="inlineStr">
        <is>
          <t>JP</t>
        </is>
      </c>
      <c r="C128" s="12" t="inlineStr">
        <is>
          <t>Random walk</t>
        </is>
      </c>
      <c r="D128" s="13" t="n">
        <v>-0.1</v>
      </c>
      <c r="E128" s="13" t="n">
        <v>0</v>
      </c>
      <c r="F128" s="13" t="n">
        <v>2.5</v>
      </c>
      <c r="G128" s="13">
        <f>D128+F128</f>
        <v/>
      </c>
      <c r="H128" s="13">
        <f>E128+F128</f>
        <v/>
      </c>
      <c r="I128" s="13">
        <f>ABS(D128-E128)</f>
        <v/>
      </c>
      <c r="J128" s="13">
        <f>(D128-E128)^2</f>
        <v/>
      </c>
      <c r="K128" s="14">
        <f>IF(ABS(G128)&lt;=1E-8,"",ABS((G128-H128)/G128))</f>
        <v/>
      </c>
    </row>
    <row r="129">
      <c r="A129" s="11" t="n">
        <v>45716</v>
      </c>
      <c r="B129" s="12" t="inlineStr">
        <is>
          <t>KR</t>
        </is>
      </c>
      <c r="C129" s="12" t="inlineStr">
        <is>
          <t>Random walk</t>
        </is>
      </c>
      <c r="D129" s="13" t="n">
        <v>0</v>
      </c>
      <c r="E129" s="13" t="n">
        <v>0</v>
      </c>
      <c r="F129" s="13" t="n">
        <v>2.8</v>
      </c>
      <c r="G129" s="13">
        <f>D129+F129</f>
        <v/>
      </c>
      <c r="H129" s="13">
        <f>E129+F129</f>
        <v/>
      </c>
      <c r="I129" s="13">
        <f>ABS(D129-E129)</f>
        <v/>
      </c>
      <c r="J129" s="13">
        <f>(D129-E129)^2</f>
        <v/>
      </c>
      <c r="K129" s="14">
        <f>IF(ABS(G129)&lt;=1E-8,"",ABS((G129-H129)/G129))</f>
        <v/>
      </c>
    </row>
    <row r="130">
      <c r="A130" s="11" t="n">
        <v>45716</v>
      </c>
      <c r="B130" s="12" t="inlineStr">
        <is>
          <t>US</t>
        </is>
      </c>
      <c r="C130" s="12" t="inlineStr">
        <is>
          <t>Random walk</t>
        </is>
      </c>
      <c r="D130" s="13" t="n">
        <v>0.2000000000000001</v>
      </c>
      <c r="E130" s="13" t="n">
        <v>0</v>
      </c>
      <c r="F130" s="13" t="n">
        <v>4</v>
      </c>
      <c r="G130" s="13">
        <f>D130+F130</f>
        <v/>
      </c>
      <c r="H130" s="13">
        <f>E130+F130</f>
        <v/>
      </c>
      <c r="I130" s="13">
        <f>ABS(D130-E130)</f>
        <v/>
      </c>
      <c r="J130" s="13">
        <f>(D130-E130)^2</f>
        <v/>
      </c>
      <c r="K130" s="14">
        <f>IF(ABS(G130)&lt;=1E-8,"",ABS((G130-H130)/G130))</f>
        <v/>
      </c>
    </row>
    <row r="131">
      <c r="A131" s="11" t="n">
        <v>45747</v>
      </c>
      <c r="B131" s="12" t="inlineStr">
        <is>
          <t>AU</t>
        </is>
      </c>
      <c r="C131" s="12" t="inlineStr">
        <is>
          <t>Random walk</t>
        </is>
      </c>
      <c r="D131" s="13" t="n">
        <v>0.0085119999999996</v>
      </c>
      <c r="E131" s="13" t="n">
        <v>0</v>
      </c>
      <c r="F131" s="13" t="n">
        <v>4.074125</v>
      </c>
      <c r="G131" s="13">
        <f>D131+F131</f>
        <v/>
      </c>
      <c r="H131" s="13">
        <f>E131+F131</f>
        <v/>
      </c>
      <c r="I131" s="13">
        <f>ABS(D131-E131)</f>
        <v/>
      </c>
      <c r="J131" s="13">
        <f>(D131-E131)^2</f>
        <v/>
      </c>
      <c r="K131" s="14">
        <f>IF(ABS(G131)&lt;=1E-8,"",ABS((G131-H131)/G131))</f>
        <v/>
      </c>
    </row>
    <row r="132">
      <c r="A132" s="11" t="n">
        <v>45747</v>
      </c>
      <c r="B132" s="12" t="inlineStr">
        <is>
          <t>CA</t>
        </is>
      </c>
      <c r="C132" s="12" t="inlineStr">
        <is>
          <t>Random walk</t>
        </is>
      </c>
      <c r="D132" s="13" t="n">
        <v>0.2000000000000001</v>
      </c>
      <c r="E132" s="13" t="n">
        <v>0</v>
      </c>
      <c r="F132" s="13" t="n">
        <v>6.6</v>
      </c>
      <c r="G132" s="13">
        <f>D132+F132</f>
        <v/>
      </c>
      <c r="H132" s="13">
        <f>E132+F132</f>
        <v/>
      </c>
      <c r="I132" s="13">
        <f>ABS(D132-E132)</f>
        <v/>
      </c>
      <c r="J132" s="13">
        <f>(D132-E132)^2</f>
        <v/>
      </c>
      <c r="K132" s="14">
        <f>IF(ABS(G132)&lt;=1E-8,"",ABS((G132-H132)/G132))</f>
        <v/>
      </c>
    </row>
    <row r="133">
      <c r="A133" s="11" t="n">
        <v>45747</v>
      </c>
      <c r="B133" s="12" t="inlineStr">
        <is>
          <t>DE</t>
        </is>
      </c>
      <c r="C133" s="12" t="inlineStr">
        <is>
          <t>Random walk</t>
        </is>
      </c>
      <c r="D133" s="13" t="n">
        <v>0</v>
      </c>
      <c r="E133" s="13" t="n">
        <v>0</v>
      </c>
      <c r="F133" s="13" t="n">
        <v>3.6</v>
      </c>
      <c r="G133" s="13">
        <f>D133+F133</f>
        <v/>
      </c>
      <c r="H133" s="13">
        <f>E133+F133</f>
        <v/>
      </c>
      <c r="I133" s="13">
        <f>ABS(D133-E133)</f>
        <v/>
      </c>
      <c r="J133" s="13">
        <f>(D133-E133)^2</f>
        <v/>
      </c>
      <c r="K133" s="14">
        <f>IF(ABS(G133)&lt;=1E-8,"",ABS((G133-H133)/G133))</f>
        <v/>
      </c>
    </row>
    <row r="134">
      <c r="A134" s="11" t="n">
        <v>45747</v>
      </c>
      <c r="B134" s="12" t="inlineStr">
        <is>
          <t>FR</t>
        </is>
      </c>
      <c r="C134" s="12" t="inlineStr">
        <is>
          <t>Random walk</t>
        </is>
      </c>
      <c r="D134" s="13" t="n">
        <v>0.0999999999999996</v>
      </c>
      <c r="E134" s="13" t="n">
        <v>0</v>
      </c>
      <c r="F134" s="13" t="n">
        <v>7.5</v>
      </c>
      <c r="G134" s="13">
        <f>D134+F134</f>
        <v/>
      </c>
      <c r="H134" s="13">
        <f>E134+F134</f>
        <v/>
      </c>
      <c r="I134" s="13">
        <f>ABS(D134-E134)</f>
        <v/>
      </c>
      <c r="J134" s="13">
        <f>(D134-E134)^2</f>
        <v/>
      </c>
      <c r="K134" s="14">
        <f>IF(ABS(G134)&lt;=1E-8,"",ABS((G134-H134)/G134))</f>
        <v/>
      </c>
    </row>
    <row r="135">
      <c r="A135" s="11" t="n">
        <v>45747</v>
      </c>
      <c r="B135" s="12" t="inlineStr">
        <is>
          <t>GB</t>
        </is>
      </c>
      <c r="C135" s="12" t="inlineStr">
        <is>
          <t>Random walk</t>
        </is>
      </c>
      <c r="D135" s="13" t="n">
        <v>0</v>
      </c>
      <c r="E135" s="13" t="n">
        <v>0</v>
      </c>
      <c r="F135" s="13" t="n">
        <v>4.6</v>
      </c>
      <c r="G135" s="13">
        <f>D135+F135</f>
        <v/>
      </c>
      <c r="H135" s="13">
        <f>E135+F135</f>
        <v/>
      </c>
      <c r="I135" s="13">
        <f>ABS(D135-E135)</f>
        <v/>
      </c>
      <c r="J135" s="13">
        <f>(D135-E135)^2</f>
        <v/>
      </c>
      <c r="K135" s="14">
        <f>IF(ABS(G135)&lt;=1E-8,"",ABS((G135-H135)/G135))</f>
        <v/>
      </c>
    </row>
    <row r="136">
      <c r="A136" s="11" t="n">
        <v>45747</v>
      </c>
      <c r="B136" s="12" t="inlineStr">
        <is>
          <t>IT</t>
        </is>
      </c>
      <c r="C136" s="12" t="inlineStr">
        <is>
          <t>Random walk</t>
        </is>
      </c>
      <c r="D136" s="13" t="n">
        <v>0.2000000000000001</v>
      </c>
      <c r="E136" s="13" t="n">
        <v>0</v>
      </c>
      <c r="F136" s="13" t="n">
        <v>6.1</v>
      </c>
      <c r="G136" s="13">
        <f>D136+F136</f>
        <v/>
      </c>
      <c r="H136" s="13">
        <f>E136+F136</f>
        <v/>
      </c>
      <c r="I136" s="13">
        <f>ABS(D136-E136)</f>
        <v/>
      </c>
      <c r="J136" s="13">
        <f>(D136-E136)^2</f>
        <v/>
      </c>
      <c r="K136" s="14">
        <f>IF(ABS(G136)&lt;=1E-8,"",ABS((G136-H136)/G136))</f>
        <v/>
      </c>
    </row>
    <row r="137">
      <c r="A137" s="11" t="n">
        <v>45747</v>
      </c>
      <c r="B137" s="12" t="inlineStr">
        <is>
          <t>JP</t>
        </is>
      </c>
      <c r="C137" s="12" t="inlineStr">
        <is>
          <t>Random walk</t>
        </is>
      </c>
      <c r="D137" s="13" t="n">
        <v>0.1</v>
      </c>
      <c r="E137" s="13" t="n">
        <v>0</v>
      </c>
      <c r="F137" s="13" t="n">
        <v>2.4</v>
      </c>
      <c r="G137" s="13">
        <f>D137+F137</f>
        <v/>
      </c>
      <c r="H137" s="13">
        <f>E137+F137</f>
        <v/>
      </c>
      <c r="I137" s="13">
        <f>ABS(D137-E137)</f>
        <v/>
      </c>
      <c r="J137" s="13">
        <f>(D137-E137)^2</f>
        <v/>
      </c>
      <c r="K137" s="14">
        <f>IF(ABS(G137)&lt;=1E-8,"",ABS((G137-H137)/G137))</f>
        <v/>
      </c>
    </row>
    <row r="138">
      <c r="A138" s="11" t="n">
        <v>45747</v>
      </c>
      <c r="B138" s="12" t="inlineStr">
        <is>
          <t>KR</t>
        </is>
      </c>
      <c r="C138" s="12" t="inlineStr">
        <is>
          <t>Random walk</t>
        </is>
      </c>
      <c r="D138" s="13" t="n">
        <v>0</v>
      </c>
      <c r="E138" s="13" t="n">
        <v>0</v>
      </c>
      <c r="F138" s="13" t="n">
        <v>2.8</v>
      </c>
      <c r="G138" s="13">
        <f>D138+F138</f>
        <v/>
      </c>
      <c r="H138" s="13">
        <f>E138+F138</f>
        <v/>
      </c>
      <c r="I138" s="13">
        <f>ABS(D138-E138)</f>
        <v/>
      </c>
      <c r="J138" s="13">
        <f>(D138-E138)^2</f>
        <v/>
      </c>
      <c r="K138" s="14">
        <f>IF(ABS(G138)&lt;=1E-8,"",ABS((G138-H138)/G138))</f>
        <v/>
      </c>
    </row>
    <row r="139">
      <c r="A139" s="11" t="n">
        <v>45747</v>
      </c>
      <c r="B139" s="12" t="inlineStr">
        <is>
          <t>US</t>
        </is>
      </c>
      <c r="C139" s="12" t="inlineStr">
        <is>
          <t>Random walk</t>
        </is>
      </c>
      <c r="D139" s="13" t="n">
        <v>0</v>
      </c>
      <c r="E139" s="13" t="n">
        <v>0</v>
      </c>
      <c r="F139" s="13" t="n">
        <v>4.2</v>
      </c>
      <c r="G139" s="13">
        <f>D139+F139</f>
        <v/>
      </c>
      <c r="H139" s="13">
        <f>E139+F139</f>
        <v/>
      </c>
      <c r="I139" s="13">
        <f>ABS(D139-E139)</f>
        <v/>
      </c>
      <c r="J139" s="13">
        <f>(D139-E139)^2</f>
        <v/>
      </c>
      <c r="K139" s="14">
        <f>IF(ABS(G139)&lt;=1E-8,"",ABS((G139-H139)/G139))</f>
        <v/>
      </c>
    </row>
    <row r="140">
      <c r="A140" s="11" t="n">
        <v>45777</v>
      </c>
      <c r="B140" s="12" t="inlineStr">
        <is>
          <t>AU</t>
        </is>
      </c>
      <c r="C140" s="12" t="inlineStr">
        <is>
          <t>Random walk</t>
        </is>
      </c>
      <c r="D140" s="13" t="n">
        <v>-0.0279340000000001</v>
      </c>
      <c r="E140" s="13" t="n">
        <v>0</v>
      </c>
      <c r="F140" s="13" t="n">
        <v>4.082637</v>
      </c>
      <c r="G140" s="13">
        <f>D140+F140</f>
        <v/>
      </c>
      <c r="H140" s="13">
        <f>E140+F140</f>
        <v/>
      </c>
      <c r="I140" s="13">
        <f>ABS(D140-E140)</f>
        <v/>
      </c>
      <c r="J140" s="13">
        <f>(D140-E140)^2</f>
        <v/>
      </c>
      <c r="K140" s="14">
        <f>IF(ABS(G140)&lt;=1E-8,"",ABS((G140-H140)/G140))</f>
        <v/>
      </c>
    </row>
    <row r="141">
      <c r="A141" s="11" t="n">
        <v>45777</v>
      </c>
      <c r="B141" s="12" t="inlineStr">
        <is>
          <t>CA</t>
        </is>
      </c>
      <c r="C141" s="12" t="inlineStr">
        <is>
          <t>Random walk</t>
        </is>
      </c>
      <c r="D141" s="13" t="n">
        <v>0.1000000000000005</v>
      </c>
      <c r="E141" s="13" t="n">
        <v>0</v>
      </c>
      <c r="F141" s="13" t="n">
        <v>6.8</v>
      </c>
      <c r="G141" s="13">
        <f>D141+F141</f>
        <v/>
      </c>
      <c r="H141" s="13">
        <f>E141+F141</f>
        <v/>
      </c>
      <c r="I141" s="13">
        <f>ABS(D141-E141)</f>
        <v/>
      </c>
      <c r="J141" s="13">
        <f>(D141-E141)^2</f>
        <v/>
      </c>
      <c r="K141" s="14">
        <f>IF(ABS(G141)&lt;=1E-8,"",ABS((G141-H141)/G141))</f>
        <v/>
      </c>
    </row>
    <row r="142">
      <c r="A142" s="11" t="n">
        <v>45777</v>
      </c>
      <c r="B142" s="12" t="inlineStr">
        <is>
          <t>DE</t>
        </is>
      </c>
      <c r="C142" s="12" t="inlineStr">
        <is>
          <t>Random walk</t>
        </is>
      </c>
      <c r="D142" s="13" t="n">
        <v>0.1</v>
      </c>
      <c r="E142" s="13" t="n">
        <v>0</v>
      </c>
      <c r="F142" s="13" t="n">
        <v>3.6</v>
      </c>
      <c r="G142" s="13">
        <f>D142+F142</f>
        <v/>
      </c>
      <c r="H142" s="13">
        <f>E142+F142</f>
        <v/>
      </c>
      <c r="I142" s="13">
        <f>ABS(D142-E142)</f>
        <v/>
      </c>
      <c r="J142" s="13">
        <f>(D142-E142)^2</f>
        <v/>
      </c>
      <c r="K142" s="14">
        <f>IF(ABS(G142)&lt;=1E-8,"",ABS((G142-H142)/G142))</f>
        <v/>
      </c>
    </row>
    <row r="143">
      <c r="A143" s="11" t="n">
        <v>45777</v>
      </c>
      <c r="B143" s="12" t="inlineStr">
        <is>
          <t>FR</t>
        </is>
      </c>
      <c r="C143" s="12" t="inlineStr">
        <is>
          <t>Random walk</t>
        </is>
      </c>
      <c r="D143" s="13" t="n">
        <v>-0.0999999999999996</v>
      </c>
      <c r="E143" s="13" t="n">
        <v>0</v>
      </c>
      <c r="F143" s="13" t="n">
        <v>7.6</v>
      </c>
      <c r="G143" s="13">
        <f>D143+F143</f>
        <v/>
      </c>
      <c r="H143" s="13">
        <f>E143+F143</f>
        <v/>
      </c>
      <c r="I143" s="13">
        <f>ABS(D143-E143)</f>
        <v/>
      </c>
      <c r="J143" s="13">
        <f>(D143-E143)^2</f>
        <v/>
      </c>
      <c r="K143" s="14">
        <f>IF(ABS(G143)&lt;=1E-8,"",ABS((G143-H143)/G143))</f>
        <v/>
      </c>
    </row>
    <row r="144">
      <c r="A144" s="11" t="n">
        <v>45777</v>
      </c>
      <c r="B144" s="12" t="inlineStr">
        <is>
          <t>GB</t>
        </is>
      </c>
      <c r="C144" s="12" t="inlineStr">
        <is>
          <t>Random walk</t>
        </is>
      </c>
      <c r="D144" s="13" t="n">
        <v>0.1000000000000005</v>
      </c>
      <c r="E144" s="13" t="n">
        <v>0</v>
      </c>
      <c r="F144" s="13" t="n">
        <v>4.6</v>
      </c>
      <c r="G144" s="13">
        <f>D144+F144</f>
        <v/>
      </c>
      <c r="H144" s="13">
        <f>E144+F144</f>
        <v/>
      </c>
      <c r="I144" s="13">
        <f>ABS(D144-E144)</f>
        <v/>
      </c>
      <c r="J144" s="13">
        <f>(D144-E144)^2</f>
        <v/>
      </c>
      <c r="K144" s="14">
        <f>IF(ABS(G144)&lt;=1E-8,"",ABS((G144-H144)/G144))</f>
        <v/>
      </c>
    </row>
    <row r="145">
      <c r="A145" s="11" t="n">
        <v>45777</v>
      </c>
      <c r="B145" s="12" t="inlineStr">
        <is>
          <t>IT</t>
        </is>
      </c>
      <c r="C145" s="12" t="inlineStr">
        <is>
          <t>Random walk</t>
        </is>
      </c>
      <c r="D145" s="13" t="n">
        <v>-0.0999999999999996</v>
      </c>
      <c r="E145" s="13" t="n">
        <v>0</v>
      </c>
      <c r="F145" s="13" t="n">
        <v>6.3</v>
      </c>
      <c r="G145" s="13">
        <f>D145+F145</f>
        <v/>
      </c>
      <c r="H145" s="13">
        <f>E145+F145</f>
        <v/>
      </c>
      <c r="I145" s="13">
        <f>ABS(D145-E145)</f>
        <v/>
      </c>
      <c r="J145" s="13">
        <f>(D145-E145)^2</f>
        <v/>
      </c>
      <c r="K145" s="14">
        <f>IF(ABS(G145)&lt;=1E-8,"",ABS((G145-H145)/G145))</f>
        <v/>
      </c>
    </row>
    <row r="146">
      <c r="A146" s="11" t="n">
        <v>45777</v>
      </c>
      <c r="B146" s="12" t="inlineStr">
        <is>
          <t>JP</t>
        </is>
      </c>
      <c r="C146" s="12" t="inlineStr">
        <is>
          <t>Random walk</t>
        </is>
      </c>
      <c r="D146" s="13" t="n">
        <v>0</v>
      </c>
      <c r="E146" s="13" t="n">
        <v>0</v>
      </c>
      <c r="F146" s="13" t="n">
        <v>2.5</v>
      </c>
      <c r="G146" s="13">
        <f>D146+F146</f>
        <v/>
      </c>
      <c r="H146" s="13">
        <f>E146+F146</f>
        <v/>
      </c>
      <c r="I146" s="13">
        <f>ABS(D146-E146)</f>
        <v/>
      </c>
      <c r="J146" s="13">
        <f>(D146-E146)^2</f>
        <v/>
      </c>
      <c r="K146" s="14">
        <f>IF(ABS(G146)&lt;=1E-8,"",ABS((G146-H146)/G146))</f>
        <v/>
      </c>
    </row>
    <row r="147">
      <c r="A147" s="11" t="n">
        <v>45777</v>
      </c>
      <c r="B147" s="12" t="inlineStr">
        <is>
          <t>KR</t>
        </is>
      </c>
      <c r="C147" s="12" t="inlineStr">
        <is>
          <t>Random walk</t>
        </is>
      </c>
      <c r="D147" s="13" t="n">
        <v>-0.0999999999999996</v>
      </c>
      <c r="E147" s="13" t="n">
        <v>0</v>
      </c>
      <c r="F147" s="13" t="n">
        <v>2.8</v>
      </c>
      <c r="G147" s="13">
        <f>D147+F147</f>
        <v/>
      </c>
      <c r="H147" s="13">
        <f>E147+F147</f>
        <v/>
      </c>
      <c r="I147" s="13">
        <f>ABS(D147-E147)</f>
        <v/>
      </c>
      <c r="J147" s="13">
        <f>(D147-E147)^2</f>
        <v/>
      </c>
      <c r="K147" s="14">
        <f>IF(ABS(G147)&lt;=1E-8,"",ABS((G147-H147)/G147))</f>
        <v/>
      </c>
    </row>
    <row r="148">
      <c r="A148" s="11" t="n">
        <v>45777</v>
      </c>
      <c r="B148" s="12" t="inlineStr">
        <is>
          <t>US</t>
        </is>
      </c>
      <c r="C148" s="12" t="inlineStr">
        <is>
          <t>Random walk</t>
        </is>
      </c>
      <c r="D148" s="13" t="n">
        <v>0</v>
      </c>
      <c r="E148" s="13" t="n">
        <v>0</v>
      </c>
      <c r="F148" s="13" t="n">
        <v>4.2</v>
      </c>
      <c r="G148" s="13">
        <f>D148+F148</f>
        <v/>
      </c>
      <c r="H148" s="13">
        <f>E148+F148</f>
        <v/>
      </c>
      <c r="I148" s="13">
        <f>ABS(D148-E148)</f>
        <v/>
      </c>
      <c r="J148" s="13">
        <f>(D148-E148)^2</f>
        <v/>
      </c>
      <c r="K148" s="14">
        <f>IF(ABS(G148)&lt;=1E-8,"",ABS((G148-H148)/G148))</f>
        <v/>
      </c>
    </row>
    <row r="149">
      <c r="A149" s="11" t="n">
        <v>45808</v>
      </c>
      <c r="B149" s="12" t="inlineStr">
        <is>
          <t>AU</t>
        </is>
      </c>
      <c r="C149" s="12" t="inlineStr">
        <is>
          <t>Random walk</t>
        </is>
      </c>
      <c r="D149" s="13" t="n">
        <v>0.0466550000000003</v>
      </c>
      <c r="E149" s="13" t="n">
        <v>0</v>
      </c>
      <c r="F149" s="13" t="n">
        <v>4.054703</v>
      </c>
      <c r="G149" s="13">
        <f>D149+F149</f>
        <v/>
      </c>
      <c r="H149" s="13">
        <f>E149+F149</f>
        <v/>
      </c>
      <c r="I149" s="13">
        <f>ABS(D149-E149)</f>
        <v/>
      </c>
      <c r="J149" s="13">
        <f>(D149-E149)^2</f>
        <v/>
      </c>
      <c r="K149" s="14">
        <f>IF(ABS(G149)&lt;=1E-8,"",ABS((G149-H149)/G149))</f>
        <v/>
      </c>
    </row>
    <row r="150">
      <c r="A150" s="11" t="n">
        <v>45808</v>
      </c>
      <c r="B150" s="12" t="inlineStr">
        <is>
          <t>CA</t>
        </is>
      </c>
      <c r="C150" s="12" t="inlineStr">
        <is>
          <t>Random walk</t>
        </is>
      </c>
      <c r="D150" s="13" t="n">
        <v>0.0999999999999996</v>
      </c>
      <c r="E150" s="13" t="n">
        <v>0</v>
      </c>
      <c r="F150" s="13" t="n">
        <v>6.9</v>
      </c>
      <c r="G150" s="13">
        <f>D150+F150</f>
        <v/>
      </c>
      <c r="H150" s="13">
        <f>E150+F150</f>
        <v/>
      </c>
      <c r="I150" s="13">
        <f>ABS(D150-E150)</f>
        <v/>
      </c>
      <c r="J150" s="13">
        <f>(D150-E150)^2</f>
        <v/>
      </c>
      <c r="K150" s="14">
        <f>IF(ABS(G150)&lt;=1E-8,"",ABS((G150-H150)/G150))</f>
        <v/>
      </c>
    </row>
    <row r="151">
      <c r="A151" s="11" t="n">
        <v>45808</v>
      </c>
      <c r="B151" s="12" t="inlineStr">
        <is>
          <t>DE</t>
        </is>
      </c>
      <c r="C151" s="12" t="inlineStr">
        <is>
          <t>Random walk</t>
        </is>
      </c>
      <c r="D151" s="13" t="n">
        <v>0</v>
      </c>
      <c r="E151" s="13" t="n">
        <v>0</v>
      </c>
      <c r="F151" s="13" t="n">
        <v>3.7</v>
      </c>
      <c r="G151" s="13">
        <f>D151+F151</f>
        <v/>
      </c>
      <c r="H151" s="13">
        <f>E151+F151</f>
        <v/>
      </c>
      <c r="I151" s="13">
        <f>ABS(D151-E151)</f>
        <v/>
      </c>
      <c r="J151" s="13">
        <f>(D151-E151)^2</f>
        <v/>
      </c>
      <c r="K151" s="14">
        <f>IF(ABS(G151)&lt;=1E-8,"",ABS((G151-H151)/G151))</f>
        <v/>
      </c>
    </row>
    <row r="152">
      <c r="A152" s="11" t="n">
        <v>45808</v>
      </c>
      <c r="B152" s="12" t="inlineStr">
        <is>
          <t>FR</t>
        </is>
      </c>
      <c r="C152" s="12" t="inlineStr">
        <is>
          <t>Random walk</t>
        </is>
      </c>
      <c r="D152" s="13" t="n">
        <v>0.0999999999999996</v>
      </c>
      <c r="E152" s="13" t="n">
        <v>0</v>
      </c>
      <c r="F152" s="13" t="n">
        <v>7.5</v>
      </c>
      <c r="G152" s="13">
        <f>D152+F152</f>
        <v/>
      </c>
      <c r="H152" s="13">
        <f>E152+F152</f>
        <v/>
      </c>
      <c r="I152" s="13">
        <f>ABS(D152-E152)</f>
        <v/>
      </c>
      <c r="J152" s="13">
        <f>(D152-E152)^2</f>
        <v/>
      </c>
      <c r="K152" s="14">
        <f>IF(ABS(G152)&lt;=1E-8,"",ABS((G152-H152)/G152))</f>
        <v/>
      </c>
    </row>
    <row r="153">
      <c r="A153" s="11" t="n">
        <v>45808</v>
      </c>
      <c r="B153" s="12" t="inlineStr">
        <is>
          <t>GB</t>
        </is>
      </c>
      <c r="C153" s="12" t="inlineStr">
        <is>
          <t>Random walk</t>
        </is>
      </c>
      <c r="D153" s="13" t="n">
        <v>0</v>
      </c>
      <c r="E153" s="13" t="n">
        <v>0</v>
      </c>
      <c r="F153" s="13" t="n">
        <v>4.7</v>
      </c>
      <c r="G153" s="13">
        <f>D153+F153</f>
        <v/>
      </c>
      <c r="H153" s="13">
        <f>E153+F153</f>
        <v/>
      </c>
      <c r="I153" s="13">
        <f>ABS(D153-E153)</f>
        <v/>
      </c>
      <c r="J153" s="13">
        <f>(D153-E153)^2</f>
        <v/>
      </c>
      <c r="K153" s="14">
        <f>IF(ABS(G153)&lt;=1E-8,"",ABS((G153-H153)/G153))</f>
        <v/>
      </c>
    </row>
    <row r="154">
      <c r="A154" s="11" t="n">
        <v>45808</v>
      </c>
      <c r="B154" s="12" t="inlineStr">
        <is>
          <t>IT</t>
        </is>
      </c>
      <c r="C154" s="12" t="inlineStr">
        <is>
          <t>Random walk</t>
        </is>
      </c>
      <c r="D154" s="13" t="n">
        <v>0.2000000000000001</v>
      </c>
      <c r="E154" s="13" t="n">
        <v>0</v>
      </c>
      <c r="F154" s="13" t="n">
        <v>6.2</v>
      </c>
      <c r="G154" s="13">
        <f>D154+F154</f>
        <v/>
      </c>
      <c r="H154" s="13">
        <f>E154+F154</f>
        <v/>
      </c>
      <c r="I154" s="13">
        <f>ABS(D154-E154)</f>
        <v/>
      </c>
      <c r="J154" s="13">
        <f>(D154-E154)^2</f>
        <v/>
      </c>
      <c r="K154" s="14">
        <f>IF(ABS(G154)&lt;=1E-8,"",ABS((G154-H154)/G154))</f>
        <v/>
      </c>
    </row>
    <row r="155">
      <c r="A155" s="11" t="n">
        <v>45808</v>
      </c>
      <c r="B155" s="12" t="inlineStr">
        <is>
          <t>JP</t>
        </is>
      </c>
      <c r="C155" s="12" t="inlineStr">
        <is>
          <t>Random walk</t>
        </is>
      </c>
      <c r="D155" s="13" t="n">
        <v>0</v>
      </c>
      <c r="E155" s="13" t="n">
        <v>0</v>
      </c>
      <c r="F155" s="13" t="n">
        <v>2.5</v>
      </c>
      <c r="G155" s="13">
        <f>D155+F155</f>
        <v/>
      </c>
      <c r="H155" s="13">
        <f>E155+F155</f>
        <v/>
      </c>
      <c r="I155" s="13">
        <f>ABS(D155-E155)</f>
        <v/>
      </c>
      <c r="J155" s="13">
        <f>(D155-E155)^2</f>
        <v/>
      </c>
      <c r="K155" s="14">
        <f>IF(ABS(G155)&lt;=1E-8,"",ABS((G155-H155)/G155))</f>
        <v/>
      </c>
    </row>
    <row r="156">
      <c r="A156" s="11" t="n">
        <v>45808</v>
      </c>
      <c r="B156" s="12" t="inlineStr">
        <is>
          <t>KR</t>
        </is>
      </c>
      <c r="C156" s="12" t="inlineStr">
        <is>
          <t>Random walk</t>
        </is>
      </c>
      <c r="D156" s="13" t="n">
        <v>0</v>
      </c>
      <c r="E156" s="13" t="n">
        <v>0</v>
      </c>
      <c r="F156" s="13" t="n">
        <v>2.7</v>
      </c>
      <c r="G156" s="13">
        <f>D156+F156</f>
        <v/>
      </c>
      <c r="H156" s="13">
        <f>E156+F156</f>
        <v/>
      </c>
      <c r="I156" s="13">
        <f>ABS(D156-E156)</f>
        <v/>
      </c>
      <c r="J156" s="13">
        <f>(D156-E156)^2</f>
        <v/>
      </c>
      <c r="K156" s="14">
        <f>IF(ABS(G156)&lt;=1E-8,"",ABS((G156-H156)/G156))</f>
        <v/>
      </c>
    </row>
    <row r="157">
      <c r="A157" s="11" t="n">
        <v>45808</v>
      </c>
      <c r="B157" s="12" t="inlineStr">
        <is>
          <t>US</t>
        </is>
      </c>
      <c r="C157" s="12" t="inlineStr">
        <is>
          <t>Random walk</t>
        </is>
      </c>
      <c r="D157" s="13" t="n">
        <v>0.0999999999999996</v>
      </c>
      <c r="E157" s="13" t="n">
        <v>0</v>
      </c>
      <c r="F157" s="13" t="n">
        <v>4.2</v>
      </c>
      <c r="G157" s="13">
        <f>D157+F157</f>
        <v/>
      </c>
      <c r="H157" s="13">
        <f>E157+F157</f>
        <v/>
      </c>
      <c r="I157" s="13">
        <f>ABS(D157-E157)</f>
        <v/>
      </c>
      <c r="J157" s="13">
        <f>(D157-E157)^2</f>
        <v/>
      </c>
      <c r="K157" s="14">
        <f>IF(ABS(G157)&lt;=1E-8,"",ABS((G157-H157)/G157))</f>
        <v/>
      </c>
    </row>
    <row r="158">
      <c r="A158" s="11" t="n">
        <v>45838</v>
      </c>
      <c r="B158" s="12" t="inlineStr">
        <is>
          <t>AU</t>
        </is>
      </c>
      <c r="C158" s="12" t="inlineStr">
        <is>
          <t>Random walk</t>
        </is>
      </c>
      <c r="D158" s="13" t="n">
        <v>0.2165059999999998</v>
      </c>
      <c r="E158" s="13" t="n">
        <v>0</v>
      </c>
      <c r="F158" s="13" t="n">
        <v>4.101358</v>
      </c>
      <c r="G158" s="13">
        <f>D158+F158</f>
        <v/>
      </c>
      <c r="H158" s="13">
        <f>E158+F158</f>
        <v/>
      </c>
      <c r="I158" s="13">
        <f>ABS(D158-E158)</f>
        <v/>
      </c>
      <c r="J158" s="13">
        <f>(D158-E158)^2</f>
        <v/>
      </c>
      <c r="K158" s="14">
        <f>IF(ABS(G158)&lt;=1E-8,"",ABS((G158-H158)/G158))</f>
        <v/>
      </c>
    </row>
    <row r="159">
      <c r="A159" s="11" t="n">
        <v>45838</v>
      </c>
      <c r="B159" s="12" t="inlineStr">
        <is>
          <t>CA</t>
        </is>
      </c>
      <c r="C159" s="12" t="inlineStr">
        <is>
          <t>Random walk</t>
        </is>
      </c>
      <c r="D159" s="13" t="n">
        <v>-0.0999999999999996</v>
      </c>
      <c r="E159" s="13" t="n">
        <v>0</v>
      </c>
      <c r="F159" s="13" t="n">
        <v>7</v>
      </c>
      <c r="G159" s="13">
        <f>D159+F159</f>
        <v/>
      </c>
      <c r="H159" s="13">
        <f>E159+F159</f>
        <v/>
      </c>
      <c r="I159" s="13">
        <f>ABS(D159-E159)</f>
        <v/>
      </c>
      <c r="J159" s="13">
        <f>(D159-E159)^2</f>
        <v/>
      </c>
      <c r="K159" s="14">
        <f>IF(ABS(G159)&lt;=1E-8,"",ABS((G159-H159)/G159))</f>
        <v/>
      </c>
    </row>
    <row r="160">
      <c r="A160" s="11" t="n">
        <v>45838</v>
      </c>
      <c r="B160" s="12" t="inlineStr">
        <is>
          <t>DE</t>
        </is>
      </c>
      <c r="C160" s="12" t="inlineStr">
        <is>
          <t>Random walk</t>
        </is>
      </c>
      <c r="D160" s="13" t="n">
        <v>0</v>
      </c>
      <c r="E160" s="13" t="n">
        <v>0</v>
      </c>
      <c r="F160" s="13" t="n">
        <v>3.7</v>
      </c>
      <c r="G160" s="13">
        <f>D160+F160</f>
        <v/>
      </c>
      <c r="H160" s="13">
        <f>E160+F160</f>
        <v/>
      </c>
      <c r="I160" s="13">
        <f>ABS(D160-E160)</f>
        <v/>
      </c>
      <c r="J160" s="13">
        <f>(D160-E160)^2</f>
        <v/>
      </c>
      <c r="K160" s="14">
        <f>IF(ABS(G160)&lt;=1E-8,"",ABS((G160-H160)/G160))</f>
        <v/>
      </c>
    </row>
    <row r="161">
      <c r="A161" s="11" t="n">
        <v>45838</v>
      </c>
      <c r="B161" s="12" t="inlineStr">
        <is>
          <t>FR</t>
        </is>
      </c>
      <c r="C161" s="12" t="inlineStr">
        <is>
          <t>Random walk</t>
        </is>
      </c>
      <c r="D161" s="13" t="n">
        <v>0.1000000000000005</v>
      </c>
      <c r="E161" s="13" t="n">
        <v>0</v>
      </c>
      <c r="F161" s="13" t="n">
        <v>7.6</v>
      </c>
      <c r="G161" s="13">
        <f>D161+F161</f>
        <v/>
      </c>
      <c r="H161" s="13">
        <f>E161+F161</f>
        <v/>
      </c>
      <c r="I161" s="13">
        <f>ABS(D161-E161)</f>
        <v/>
      </c>
      <c r="J161" s="13">
        <f>(D161-E161)^2</f>
        <v/>
      </c>
      <c r="K161" s="14">
        <f>IF(ABS(G161)&lt;=1E-8,"",ABS((G161-H161)/G161))</f>
        <v/>
      </c>
    </row>
    <row r="162">
      <c r="A162" s="11" t="n">
        <v>45838</v>
      </c>
      <c r="B162" s="12" t="inlineStr">
        <is>
          <t>GB</t>
        </is>
      </c>
      <c r="C162" s="12" t="inlineStr">
        <is>
          <t>Random walk</t>
        </is>
      </c>
      <c r="D162" s="13" t="n">
        <v>0</v>
      </c>
      <c r="E162" s="13" t="n">
        <v>0</v>
      </c>
      <c r="F162" s="13" t="n">
        <v>4.7</v>
      </c>
      <c r="G162" s="13">
        <f>D162+F162</f>
        <v/>
      </c>
      <c r="H162" s="13">
        <f>E162+F162</f>
        <v/>
      </c>
      <c r="I162" s="13">
        <f>ABS(D162-E162)</f>
        <v/>
      </c>
      <c r="J162" s="13">
        <f>(D162-E162)^2</f>
        <v/>
      </c>
      <c r="K162" s="14">
        <f>IF(ABS(G162)&lt;=1E-8,"",ABS((G162-H162)/G162))</f>
        <v/>
      </c>
    </row>
    <row r="163">
      <c r="A163" s="11" t="n">
        <v>45838</v>
      </c>
      <c r="B163" s="12" t="inlineStr">
        <is>
          <t>IT</t>
        </is>
      </c>
      <c r="C163" s="12" t="inlineStr">
        <is>
          <t>Random walk</t>
        </is>
      </c>
      <c r="D163" s="13" t="n">
        <v>-0.5</v>
      </c>
      <c r="E163" s="13" t="n">
        <v>0</v>
      </c>
      <c r="F163" s="13" t="n">
        <v>6.4</v>
      </c>
      <c r="G163" s="13">
        <f>D163+F163</f>
        <v/>
      </c>
      <c r="H163" s="13">
        <f>E163+F163</f>
        <v/>
      </c>
      <c r="I163" s="13">
        <f>ABS(D163-E163)</f>
        <v/>
      </c>
      <c r="J163" s="13">
        <f>(D163-E163)^2</f>
        <v/>
      </c>
      <c r="K163" s="14">
        <f>IF(ABS(G163)&lt;=1E-8,"",ABS((G163-H163)/G163))</f>
        <v/>
      </c>
    </row>
    <row r="164">
      <c r="A164" s="11" t="n">
        <v>45838</v>
      </c>
      <c r="B164" s="12" t="inlineStr">
        <is>
          <t>JP</t>
        </is>
      </c>
      <c r="C164" s="12" t="inlineStr">
        <is>
          <t>Random walk</t>
        </is>
      </c>
      <c r="D164" s="13" t="n">
        <v>0</v>
      </c>
      <c r="E164" s="13" t="n">
        <v>0</v>
      </c>
      <c r="F164" s="13" t="n">
        <v>2.5</v>
      </c>
      <c r="G164" s="13">
        <f>D164+F164</f>
        <v/>
      </c>
      <c r="H164" s="13">
        <f>E164+F164</f>
        <v/>
      </c>
      <c r="I164" s="13">
        <f>ABS(D164-E164)</f>
        <v/>
      </c>
      <c r="J164" s="13">
        <f>(D164-E164)^2</f>
        <v/>
      </c>
      <c r="K164" s="14">
        <f>IF(ABS(G164)&lt;=1E-8,"",ABS((G164-H164)/G164))</f>
        <v/>
      </c>
    </row>
    <row r="165">
      <c r="A165" s="11" t="n">
        <v>45838</v>
      </c>
      <c r="B165" s="12" t="inlineStr">
        <is>
          <t>KR</t>
        </is>
      </c>
      <c r="C165" s="12" t="inlineStr">
        <is>
          <t>Random walk</t>
        </is>
      </c>
      <c r="D165" s="13" t="n">
        <v>0</v>
      </c>
      <c r="E165" s="13" t="n">
        <v>0</v>
      </c>
      <c r="F165" s="13" t="n">
        <v>2.7</v>
      </c>
      <c r="G165" s="13">
        <f>D165+F165</f>
        <v/>
      </c>
      <c r="H165" s="13">
        <f>E165+F165</f>
        <v/>
      </c>
      <c r="I165" s="13">
        <f>ABS(D165-E165)</f>
        <v/>
      </c>
      <c r="J165" s="13">
        <f>(D165-E165)^2</f>
        <v/>
      </c>
      <c r="K165" s="14">
        <f>IF(ABS(G165)&lt;=1E-8,"",ABS((G165-H165)/G165))</f>
        <v/>
      </c>
    </row>
    <row r="166">
      <c r="A166" s="11" t="n">
        <v>45838</v>
      </c>
      <c r="B166" s="12" t="inlineStr">
        <is>
          <t>US</t>
        </is>
      </c>
      <c r="C166" s="12" t="inlineStr">
        <is>
          <t>Random walk</t>
        </is>
      </c>
      <c r="D166" s="13" t="n">
        <v>-0.2000000000000001</v>
      </c>
      <c r="E166" s="13" t="n">
        <v>0</v>
      </c>
      <c r="F166" s="13" t="n">
        <v>4.3</v>
      </c>
      <c r="G166" s="13">
        <f>D166+F166</f>
        <v/>
      </c>
      <c r="H166" s="13">
        <f>E166+F166</f>
        <v/>
      </c>
      <c r="I166" s="13">
        <f>ABS(D166-E166)</f>
        <v/>
      </c>
      <c r="J166" s="13">
        <f>(D166-E166)^2</f>
        <v/>
      </c>
      <c r="K166" s="14">
        <f>IF(ABS(G166)&lt;=1E-8,"",ABS((G166-H166)/G166))</f>
        <v/>
      </c>
    </row>
    <row r="167">
      <c r="A167" s="11" t="n">
        <v>45869</v>
      </c>
      <c r="B167" s="12" t="inlineStr">
        <is>
          <t>AU</t>
        </is>
      </c>
      <c r="C167" s="12" t="inlineStr">
        <is>
          <t>Random walk</t>
        </is>
      </c>
      <c r="D167" s="13" t="n">
        <v>-0.08211999999999969</v>
      </c>
      <c r="E167" s="13" t="n">
        <v>0</v>
      </c>
      <c r="F167" s="13" t="n">
        <v>4.317864</v>
      </c>
      <c r="G167" s="13">
        <f>D167+F167</f>
        <v/>
      </c>
      <c r="H167" s="13">
        <f>E167+F167</f>
        <v/>
      </c>
      <c r="I167" s="13">
        <f>ABS(D167-E167)</f>
        <v/>
      </c>
      <c r="J167" s="13">
        <f>(D167-E167)^2</f>
        <v/>
      </c>
      <c r="K167" s="14">
        <f>IF(ABS(G167)&lt;=1E-8,"",ABS((G167-H167)/G167))</f>
        <v/>
      </c>
    </row>
    <row r="168">
      <c r="A168" s="11" t="n">
        <v>45869</v>
      </c>
      <c r="B168" s="12" t="inlineStr">
        <is>
          <t>CA</t>
        </is>
      </c>
      <c r="C168" s="12" t="inlineStr">
        <is>
          <t>Random walk</t>
        </is>
      </c>
      <c r="D168" s="13" t="n">
        <v>0</v>
      </c>
      <c r="E168" s="13" t="n">
        <v>0</v>
      </c>
      <c r="F168" s="13" t="n">
        <v>6.9</v>
      </c>
      <c r="G168" s="13">
        <f>D168+F168</f>
        <v/>
      </c>
      <c r="H168" s="13">
        <f>E168+F168</f>
        <v/>
      </c>
      <c r="I168" s="13">
        <f>ABS(D168-E168)</f>
        <v/>
      </c>
      <c r="J168" s="13">
        <f>(D168-E168)^2</f>
        <v/>
      </c>
      <c r="K168" s="14">
        <f>IF(ABS(G168)&lt;=1E-8,"",ABS((G168-H168)/G168))</f>
        <v/>
      </c>
    </row>
    <row r="169">
      <c r="A169" s="11" t="n">
        <v>45869</v>
      </c>
      <c r="B169" s="12" t="inlineStr">
        <is>
          <t>DE</t>
        </is>
      </c>
      <c r="C169" s="12" t="inlineStr">
        <is>
          <t>Random walk</t>
        </is>
      </c>
      <c r="D169" s="13" t="n">
        <v>0.0999999999999996</v>
      </c>
      <c r="E169" s="13" t="n">
        <v>0</v>
      </c>
      <c r="F169" s="13" t="n">
        <v>3.7</v>
      </c>
      <c r="G169" s="13">
        <f>D169+F169</f>
        <v/>
      </c>
      <c r="H169" s="13">
        <f>E169+F169</f>
        <v/>
      </c>
      <c r="I169" s="13">
        <f>ABS(D169-E169)</f>
        <v/>
      </c>
      <c r="J169" s="13">
        <f>(D169-E169)^2</f>
        <v/>
      </c>
      <c r="K169" s="14">
        <f>IF(ABS(G169)&lt;=1E-8,"",ABS((G169-H169)/G169))</f>
        <v/>
      </c>
    </row>
    <row r="170">
      <c r="A170" s="11" t="n">
        <v>45869</v>
      </c>
      <c r="B170" s="12" t="inlineStr">
        <is>
          <t>FR</t>
        </is>
      </c>
      <c r="C170" s="12" t="inlineStr">
        <is>
          <t>Random walk</t>
        </is>
      </c>
      <c r="D170" s="13" t="n">
        <v>0</v>
      </c>
      <c r="E170" s="13" t="n">
        <v>0</v>
      </c>
      <c r="F170" s="13" t="n">
        <v>7.7</v>
      </c>
      <c r="G170" s="13">
        <f>D170+F170</f>
        <v/>
      </c>
      <c r="H170" s="13">
        <f>E170+F170</f>
        <v/>
      </c>
      <c r="I170" s="13">
        <f>ABS(D170-E170)</f>
        <v/>
      </c>
      <c r="J170" s="13">
        <f>(D170-E170)^2</f>
        <v/>
      </c>
      <c r="K170" s="14">
        <f>IF(ABS(G170)&lt;=1E-8,"",ABS((G170-H170)/G170))</f>
        <v/>
      </c>
    </row>
    <row r="171">
      <c r="A171" s="11" t="n">
        <v>45869</v>
      </c>
      <c r="B171" s="12" t="inlineStr">
        <is>
          <t>GB</t>
        </is>
      </c>
      <c r="C171" s="12" t="inlineStr">
        <is>
          <t>Random walk</t>
        </is>
      </c>
      <c r="D171" s="13" t="n">
        <v>0.0999999999999996</v>
      </c>
      <c r="E171" s="13" t="n">
        <v>0</v>
      </c>
      <c r="F171" s="13" t="n">
        <v>4.7</v>
      </c>
      <c r="G171" s="13">
        <f>D171+F171</f>
        <v/>
      </c>
      <c r="H171" s="13">
        <f>E171+F171</f>
        <v/>
      </c>
      <c r="I171" s="13">
        <f>ABS(D171-E171)</f>
        <v/>
      </c>
      <c r="J171" s="13">
        <f>(D171-E171)^2</f>
        <v/>
      </c>
      <c r="K171" s="14">
        <f>IF(ABS(G171)&lt;=1E-8,"",ABS((G171-H171)/G171))</f>
        <v/>
      </c>
    </row>
    <row r="172">
      <c r="A172" s="11" t="n">
        <v>45869</v>
      </c>
      <c r="B172" s="12" t="inlineStr">
        <is>
          <t>IT</t>
        </is>
      </c>
      <c r="C172" s="12" t="inlineStr">
        <is>
          <t>Random walk</t>
        </is>
      </c>
      <c r="D172" s="13" t="n">
        <v>0.0999999999999996</v>
      </c>
      <c r="E172" s="13" t="n">
        <v>0</v>
      </c>
      <c r="F172" s="13" t="n">
        <v>5.9</v>
      </c>
      <c r="G172" s="13">
        <f>D172+F172</f>
        <v/>
      </c>
      <c r="H172" s="13">
        <f>E172+F172</f>
        <v/>
      </c>
      <c r="I172" s="13">
        <f>ABS(D172-E172)</f>
        <v/>
      </c>
      <c r="J172" s="13">
        <f>(D172-E172)^2</f>
        <v/>
      </c>
      <c r="K172" s="14">
        <f>IF(ABS(G172)&lt;=1E-8,"",ABS((G172-H172)/G172))</f>
        <v/>
      </c>
    </row>
    <row r="173">
      <c r="A173" s="11" t="n">
        <v>45869</v>
      </c>
      <c r="B173" s="12" t="inlineStr">
        <is>
          <t>JP</t>
        </is>
      </c>
      <c r="C173" s="12" t="inlineStr">
        <is>
          <t>Random walk</t>
        </is>
      </c>
      <c r="D173" s="13" t="n">
        <v>-0.1</v>
      </c>
      <c r="E173" s="13" t="n">
        <v>0</v>
      </c>
      <c r="F173" s="13" t="n">
        <v>2.5</v>
      </c>
      <c r="G173" s="13">
        <f>D173+F173</f>
        <v/>
      </c>
      <c r="H173" s="13">
        <f>E173+F173</f>
        <v/>
      </c>
      <c r="I173" s="13">
        <f>ABS(D173-E173)</f>
        <v/>
      </c>
      <c r="J173" s="13">
        <f>(D173-E173)^2</f>
        <v/>
      </c>
      <c r="K173" s="14">
        <f>IF(ABS(G173)&lt;=1E-8,"",ABS((G173-H173)/G173))</f>
        <v/>
      </c>
    </row>
    <row r="174">
      <c r="A174" s="11" t="n">
        <v>45869</v>
      </c>
      <c r="B174" s="12" t="inlineStr">
        <is>
          <t>KR</t>
        </is>
      </c>
      <c r="C174" s="12" t="inlineStr">
        <is>
          <t>Random walk</t>
        </is>
      </c>
      <c r="D174" s="13" t="n">
        <v>0</v>
      </c>
      <c r="E174" s="13" t="n">
        <v>0</v>
      </c>
      <c r="F174" s="13" t="n">
        <v>2.7</v>
      </c>
      <c r="G174" s="13">
        <f>D174+F174</f>
        <v/>
      </c>
      <c r="H174" s="13">
        <f>E174+F174</f>
        <v/>
      </c>
      <c r="I174" s="13">
        <f>ABS(D174-E174)</f>
        <v/>
      </c>
      <c r="J174" s="13">
        <f>(D174-E174)^2</f>
        <v/>
      </c>
      <c r="K174" s="14">
        <f>IF(ABS(G174)&lt;=1E-8,"",ABS((G174-H174)/G174))</f>
        <v/>
      </c>
    </row>
    <row r="175">
      <c r="A175" s="11" t="n">
        <v>45869</v>
      </c>
      <c r="B175" s="12" t="inlineStr">
        <is>
          <t>US</t>
        </is>
      </c>
      <c r="C175" s="12" t="inlineStr">
        <is>
          <t>Random walk</t>
        </is>
      </c>
      <c r="D175" s="13" t="n">
        <v>0.2000000000000001</v>
      </c>
      <c r="E175" s="13" t="n">
        <v>0</v>
      </c>
      <c r="F175" s="13" t="n">
        <v>4.1</v>
      </c>
      <c r="G175" s="13">
        <f>D175+F175</f>
        <v/>
      </c>
      <c r="H175" s="13">
        <f>E175+F175</f>
        <v/>
      </c>
      <c r="I175" s="13">
        <f>ABS(D175-E175)</f>
        <v/>
      </c>
      <c r="J175" s="13">
        <f>(D175-E175)^2</f>
        <v/>
      </c>
      <c r="K175" s="14">
        <f>IF(ABS(G175)&lt;=1E-8,"",ABS((G175-H175)/G175))</f>
        <v/>
      </c>
    </row>
    <row r="176">
      <c r="A176" s="11" t="n">
        <v>45900</v>
      </c>
      <c r="B176" s="12" t="inlineStr">
        <is>
          <t>AU</t>
        </is>
      </c>
      <c r="C176" s="12" t="inlineStr">
        <is>
          <t>Random walk</t>
        </is>
      </c>
      <c r="D176" s="13" t="n">
        <v>0.008958999999999899</v>
      </c>
      <c r="E176" s="13" t="n">
        <v>0</v>
      </c>
      <c r="F176" s="13" t="n">
        <v>4.235744</v>
      </c>
      <c r="G176" s="13">
        <f>D176+F176</f>
        <v/>
      </c>
      <c r="H176" s="13">
        <f>E176+F176</f>
        <v/>
      </c>
      <c r="I176" s="13">
        <f>ABS(D176-E176)</f>
        <v/>
      </c>
      <c r="J176" s="13">
        <f>(D176-E176)^2</f>
        <v/>
      </c>
      <c r="K176" s="14">
        <f>IF(ABS(G176)&lt;=1E-8,"",ABS((G176-H176)/G176))</f>
        <v/>
      </c>
    </row>
    <row r="177">
      <c r="A177" s="11" t="n">
        <v>45900</v>
      </c>
      <c r="B177" s="12" t="inlineStr">
        <is>
          <t>CA</t>
        </is>
      </c>
      <c r="C177" s="12" t="inlineStr">
        <is>
          <t>Random walk</t>
        </is>
      </c>
      <c r="D177" s="13" t="n">
        <v>0.1999999999999993</v>
      </c>
      <c r="E177" s="13" t="n">
        <v>0</v>
      </c>
      <c r="F177" s="13" t="n">
        <v>6.9</v>
      </c>
      <c r="G177" s="13">
        <f>D177+F177</f>
        <v/>
      </c>
      <c r="H177" s="13">
        <f>E177+F177</f>
        <v/>
      </c>
      <c r="I177" s="13">
        <f>ABS(D177-E177)</f>
        <v/>
      </c>
      <c r="J177" s="13">
        <f>(D177-E177)^2</f>
        <v/>
      </c>
      <c r="K177" s="14">
        <f>IF(ABS(G177)&lt;=1E-8,"",ABS((G177-H177)/G177))</f>
        <v/>
      </c>
    </row>
    <row r="178">
      <c r="A178" s="11" t="n">
        <v>45900</v>
      </c>
      <c r="B178" s="12" t="inlineStr">
        <is>
          <t>DE</t>
        </is>
      </c>
      <c r="C178" s="12" t="inlineStr">
        <is>
          <t>Random walk</t>
        </is>
      </c>
      <c r="D178" s="13" t="n">
        <v>0</v>
      </c>
      <c r="E178" s="13" t="n">
        <v>0</v>
      </c>
      <c r="F178" s="13" t="n">
        <v>3.8</v>
      </c>
      <c r="G178" s="13">
        <f>D178+F178</f>
        <v/>
      </c>
      <c r="H178" s="13">
        <f>E178+F178</f>
        <v/>
      </c>
      <c r="I178" s="13">
        <f>ABS(D178-E178)</f>
        <v/>
      </c>
      <c r="J178" s="13">
        <f>(D178-E178)^2</f>
        <v/>
      </c>
      <c r="K178" s="14">
        <f>IF(ABS(G178)&lt;=1E-8,"",ABS((G178-H178)/G178))</f>
        <v/>
      </c>
    </row>
    <row r="179">
      <c r="A179" s="11" t="n">
        <v>45900</v>
      </c>
      <c r="B179" s="12" t="inlineStr">
        <is>
          <t>FR</t>
        </is>
      </c>
      <c r="C179" s="12" t="inlineStr">
        <is>
          <t>Random walk</t>
        </is>
      </c>
      <c r="D179" s="13" t="n">
        <v>0.0999999999999996</v>
      </c>
      <c r="E179" s="13" t="n">
        <v>0</v>
      </c>
      <c r="F179" s="13" t="n">
        <v>7.7</v>
      </c>
      <c r="G179" s="13">
        <f>D179+F179</f>
        <v/>
      </c>
      <c r="H179" s="13">
        <f>E179+F179</f>
        <v/>
      </c>
      <c r="I179" s="13">
        <f>ABS(D179-E179)</f>
        <v/>
      </c>
      <c r="J179" s="13">
        <f>(D179-E179)^2</f>
        <v/>
      </c>
      <c r="K179" s="14">
        <f>IF(ABS(G179)&lt;=1E-8,"",ABS((G179-H179)/G179))</f>
        <v/>
      </c>
    </row>
    <row r="180">
      <c r="A180" s="11" t="n">
        <v>45900</v>
      </c>
      <c r="B180" s="12" t="inlineStr">
        <is>
          <t>GB</t>
        </is>
      </c>
      <c r="C180" s="12" t="inlineStr">
        <is>
          <t>Random walk</t>
        </is>
      </c>
      <c r="D180" s="13" t="n">
        <v>0.2000000000000001</v>
      </c>
      <c r="E180" s="13" t="n">
        <v>0</v>
      </c>
      <c r="F180" s="13" t="n">
        <v>4.8</v>
      </c>
      <c r="G180" s="13">
        <f>D180+F180</f>
        <v/>
      </c>
      <c r="H180" s="13">
        <f>E180+F180</f>
        <v/>
      </c>
      <c r="I180" s="13">
        <f>ABS(D180-E180)</f>
        <v/>
      </c>
      <c r="J180" s="13">
        <f>(D180-E180)^2</f>
        <v/>
      </c>
      <c r="K180" s="14">
        <f>IF(ABS(G180)&lt;=1E-8,"",ABS((G180-H180)/G180))</f>
        <v/>
      </c>
    </row>
    <row r="181">
      <c r="A181" s="11" t="n">
        <v>45900</v>
      </c>
      <c r="B181" s="12" t="inlineStr">
        <is>
          <t>IT</t>
        </is>
      </c>
      <c r="C181" s="12" t="inlineStr">
        <is>
          <t>Random walk</t>
        </is>
      </c>
      <c r="D181" s="13" t="n">
        <v>0</v>
      </c>
      <c r="E181" s="13" t="n">
        <v>0</v>
      </c>
      <c r="F181" s="13" t="n">
        <v>6</v>
      </c>
      <c r="G181" s="13">
        <f>D181+F181</f>
        <v/>
      </c>
      <c r="H181" s="13">
        <f>E181+F181</f>
        <v/>
      </c>
      <c r="I181" s="13">
        <f>ABS(D181-E181)</f>
        <v/>
      </c>
      <c r="J181" s="13">
        <f>(D181-E181)^2</f>
        <v/>
      </c>
      <c r="K181" s="14">
        <f>IF(ABS(G181)&lt;=1E-8,"",ABS((G181-H181)/G181))</f>
        <v/>
      </c>
    </row>
    <row r="182">
      <c r="A182" s="11" t="n">
        <v>45900</v>
      </c>
      <c r="B182" s="12" t="inlineStr">
        <is>
          <t>JP</t>
        </is>
      </c>
      <c r="C182" s="12" t="inlineStr">
        <is>
          <t>Random walk</t>
        </is>
      </c>
      <c r="D182" s="13" t="n">
        <v>0.2000000000000001</v>
      </c>
      <c r="E182" s="13" t="n">
        <v>0</v>
      </c>
      <c r="F182" s="13" t="n">
        <v>2.4</v>
      </c>
      <c r="G182" s="13">
        <f>D182+F182</f>
        <v/>
      </c>
      <c r="H182" s="13">
        <f>E182+F182</f>
        <v/>
      </c>
      <c r="I182" s="13">
        <f>ABS(D182-E182)</f>
        <v/>
      </c>
      <c r="J182" s="13">
        <f>(D182-E182)^2</f>
        <v/>
      </c>
      <c r="K182" s="14">
        <f>IF(ABS(G182)&lt;=1E-8,"",ABS((G182-H182)/G182))</f>
        <v/>
      </c>
    </row>
    <row r="183">
      <c r="A183" s="11" t="n">
        <v>45900</v>
      </c>
      <c r="B183" s="12" t="inlineStr">
        <is>
          <t>KR</t>
        </is>
      </c>
      <c r="C183" s="12" t="inlineStr">
        <is>
          <t>Random walk</t>
        </is>
      </c>
      <c r="D183" s="13" t="n">
        <v>0.0999999999999996</v>
      </c>
      <c r="E183" s="13" t="n">
        <v>0</v>
      </c>
      <c r="F183" s="13" t="n">
        <v>2.7</v>
      </c>
      <c r="G183" s="13">
        <f>D183+F183</f>
        <v/>
      </c>
      <c r="H183" s="13">
        <f>E183+F183</f>
        <v/>
      </c>
      <c r="I183" s="13">
        <f>ABS(D183-E183)</f>
        <v/>
      </c>
      <c r="J183" s="13">
        <f>(D183-E183)^2</f>
        <v/>
      </c>
      <c r="K183" s="14">
        <f>IF(ABS(G183)&lt;=1E-8,"",ABS((G183-H183)/G183))</f>
        <v/>
      </c>
    </row>
    <row r="184">
      <c r="A184" s="11" t="n">
        <v>45900</v>
      </c>
      <c r="B184" s="12" t="inlineStr">
        <is>
          <t>US</t>
        </is>
      </c>
      <c r="C184" s="12" t="inlineStr">
        <is>
          <t>Random walk</t>
        </is>
      </c>
      <c r="D184" s="13" t="n">
        <v>0</v>
      </c>
      <c r="E184" s="13" t="n">
        <v>0</v>
      </c>
      <c r="F184" s="13" t="n">
        <v>4.3</v>
      </c>
      <c r="G184" s="13">
        <f>D184+F184</f>
        <v/>
      </c>
      <c r="H184" s="13">
        <f>E184+F184</f>
        <v/>
      </c>
      <c r="I184" s="13">
        <f>ABS(D184-E184)</f>
        <v/>
      </c>
      <c r="J184" s="13">
        <f>(D184-E184)^2</f>
        <v/>
      </c>
      <c r="K184" s="14">
        <f>IF(ABS(G184)&lt;=1E-8,"",ABS((G184-H184)/G184))</f>
        <v/>
      </c>
    </row>
    <row r="185">
      <c r="A185" s="11" t="n">
        <v>45930</v>
      </c>
      <c r="B185" s="12" t="inlineStr">
        <is>
          <t>AU</t>
        </is>
      </c>
      <c r="C185" s="12" t="inlineStr">
        <is>
          <t>Random walk</t>
        </is>
      </c>
      <c r="D185" s="13" t="n">
        <v>0.1929949999999998</v>
      </c>
      <c r="E185" s="13" t="n">
        <v>0</v>
      </c>
      <c r="F185" s="13" t="n">
        <v>4.244703</v>
      </c>
      <c r="G185" s="13">
        <f>D185+F185</f>
        <v/>
      </c>
      <c r="H185" s="13">
        <f>E185+F185</f>
        <v/>
      </c>
      <c r="I185" s="13">
        <f>ABS(D185-E185)</f>
        <v/>
      </c>
      <c r="J185" s="13">
        <f>(D185-E185)^2</f>
        <v/>
      </c>
      <c r="K185" s="14">
        <f>IF(ABS(G185)&lt;=1E-8,"",ABS((G185-H185)/G185))</f>
        <v/>
      </c>
    </row>
    <row r="186">
      <c r="A186" s="11" t="n">
        <v>45930</v>
      </c>
      <c r="B186" s="12" t="inlineStr">
        <is>
          <t>CA</t>
        </is>
      </c>
      <c r="C186" s="12" t="inlineStr">
        <is>
          <t>Random walk</t>
        </is>
      </c>
      <c r="D186" s="13" t="n">
        <v>0</v>
      </c>
      <c r="E186" s="13" t="n">
        <v>0</v>
      </c>
      <c r="F186" s="13" t="n">
        <v>7.1</v>
      </c>
      <c r="G186" s="13">
        <f>D186+F186</f>
        <v/>
      </c>
      <c r="H186" s="13">
        <f>E186+F186</f>
        <v/>
      </c>
      <c r="I186" s="13">
        <f>ABS(D186-E186)</f>
        <v/>
      </c>
      <c r="J186" s="13">
        <f>(D186-E186)^2</f>
        <v/>
      </c>
      <c r="K186" s="14">
        <f>IF(ABS(G186)&lt;=1E-8,"",ABS((G186-H186)/G186))</f>
        <v/>
      </c>
    </row>
    <row r="187">
      <c r="A187" s="11" t="n">
        <v>45930</v>
      </c>
      <c r="B187" s="12" t="inlineStr">
        <is>
          <t>DE</t>
        </is>
      </c>
      <c r="C187" s="12" t="inlineStr">
        <is>
          <t>Random walk</t>
        </is>
      </c>
      <c r="D187" s="13" t="n">
        <v>0</v>
      </c>
      <c r="E187" s="13" t="n">
        <v>0</v>
      </c>
      <c r="F187" s="13" t="n">
        <v>3.8</v>
      </c>
      <c r="G187" s="13">
        <f>D187+F187</f>
        <v/>
      </c>
      <c r="H187" s="13">
        <f>E187+F187</f>
        <v/>
      </c>
      <c r="I187" s="13">
        <f>ABS(D187-E187)</f>
        <v/>
      </c>
      <c r="J187" s="13">
        <f>(D187-E187)^2</f>
        <v/>
      </c>
      <c r="K187" s="14">
        <f>IF(ABS(G187)&lt;=1E-8,"",ABS((G187-H187)/G187))</f>
        <v/>
      </c>
    </row>
    <row r="188">
      <c r="A188" s="11" t="n">
        <v>45930</v>
      </c>
      <c r="B188" s="12" t="inlineStr">
        <is>
          <t>FR</t>
        </is>
      </c>
      <c r="C188" s="12" t="inlineStr">
        <is>
          <t>Random walk</t>
        </is>
      </c>
      <c r="D188" s="13" t="n">
        <v>0.1000000000000005</v>
      </c>
      <c r="E188" s="13" t="n">
        <v>0</v>
      </c>
      <c r="F188" s="13" t="n">
        <v>7.8</v>
      </c>
      <c r="G188" s="13">
        <f>D188+F188</f>
        <v/>
      </c>
      <c r="H188" s="13">
        <f>E188+F188</f>
        <v/>
      </c>
      <c r="I188" s="13">
        <f>ABS(D188-E188)</f>
        <v/>
      </c>
      <c r="J188" s="13">
        <f>(D188-E188)^2</f>
        <v/>
      </c>
      <c r="K188" s="14">
        <f>IF(ABS(G188)&lt;=1E-8,"",ABS((G188-H188)/G188))</f>
        <v/>
      </c>
    </row>
    <row r="189">
      <c r="A189" s="11" t="n">
        <v>45930</v>
      </c>
      <c r="B189" s="12" t="inlineStr">
        <is>
          <t>GB</t>
        </is>
      </c>
      <c r="C189" s="12" t="inlineStr">
        <is>
          <t>Random walk</t>
        </is>
      </c>
      <c r="D189" s="13" t="n">
        <v>0.0999999999999996</v>
      </c>
      <c r="E189" s="13" t="n">
        <v>0</v>
      </c>
      <c r="F189" s="13" t="n">
        <v>5</v>
      </c>
      <c r="G189" s="13">
        <f>D189+F189</f>
        <v/>
      </c>
      <c r="H189" s="13">
        <f>E189+F189</f>
        <v/>
      </c>
      <c r="I189" s="13">
        <f>ABS(D189-E189)</f>
        <v/>
      </c>
      <c r="J189" s="13">
        <f>(D189-E189)^2</f>
        <v/>
      </c>
      <c r="K189" s="14">
        <f>IF(ABS(G189)&lt;=1E-8,"",ABS((G189-H189)/G189))</f>
        <v/>
      </c>
    </row>
    <row r="190">
      <c r="A190" s="11" t="n">
        <v>45930</v>
      </c>
      <c r="B190" s="12" t="inlineStr">
        <is>
          <t>IT</t>
        </is>
      </c>
      <c r="C190" s="12" t="inlineStr">
        <is>
          <t>Random walk</t>
        </is>
      </c>
      <c r="D190" s="13" t="n">
        <v>0</v>
      </c>
      <c r="E190" s="13" t="n">
        <v>0</v>
      </c>
      <c r="F190" s="13" t="n">
        <v>6</v>
      </c>
      <c r="G190" s="13">
        <f>D190+F190</f>
        <v/>
      </c>
      <c r="H190" s="13">
        <f>E190+F190</f>
        <v/>
      </c>
      <c r="I190" s="13">
        <f>ABS(D190-E190)</f>
        <v/>
      </c>
      <c r="J190" s="13">
        <f>(D190-E190)^2</f>
        <v/>
      </c>
      <c r="K190" s="14">
        <f>IF(ABS(G190)&lt;=1E-8,"",ABS((G190-H190)/G190))</f>
        <v/>
      </c>
    </row>
    <row r="191">
      <c r="A191" s="11" t="n">
        <v>45930</v>
      </c>
      <c r="B191" s="12" t="inlineStr">
        <is>
          <t>JP</t>
        </is>
      </c>
      <c r="C191" s="12" t="inlineStr">
        <is>
          <t>Random walk</t>
        </is>
      </c>
      <c r="D191" s="13" t="n">
        <v>0</v>
      </c>
      <c r="E191" s="13" t="n">
        <v>0</v>
      </c>
      <c r="F191" s="13" t="n">
        <v>2.6</v>
      </c>
      <c r="G191" s="13">
        <f>D191+F191</f>
        <v/>
      </c>
      <c r="H191" s="13">
        <f>E191+F191</f>
        <v/>
      </c>
      <c r="I191" s="13">
        <f>ABS(D191-E191)</f>
        <v/>
      </c>
      <c r="J191" s="13">
        <f>(D191-E191)^2</f>
        <v/>
      </c>
      <c r="K191" s="14">
        <f>IF(ABS(G191)&lt;=1E-8,"",ABS((G191-H191)/G191))</f>
        <v/>
      </c>
    </row>
    <row r="192">
      <c r="A192" s="11" t="n">
        <v>45930</v>
      </c>
      <c r="B192" s="12" t="inlineStr">
        <is>
          <t>KR</t>
        </is>
      </c>
      <c r="C192" s="12" t="inlineStr">
        <is>
          <t>Random walk</t>
        </is>
      </c>
      <c r="D192" s="13" t="n">
        <v>-0.0999999999999996</v>
      </c>
      <c r="E192" s="13" t="n">
        <v>0</v>
      </c>
      <c r="F192" s="13" t="n">
        <v>2.8</v>
      </c>
      <c r="G192" s="13">
        <f>D192+F192</f>
        <v/>
      </c>
      <c r="H192" s="13">
        <f>E192+F192</f>
        <v/>
      </c>
      <c r="I192" s="13">
        <f>ABS(D192-E192)</f>
        <v/>
      </c>
      <c r="J192" s="13">
        <f>(D192-E192)^2</f>
        <v/>
      </c>
      <c r="K192" s="14">
        <f>IF(ABS(G192)&lt;=1E-8,"",ABS((G192-H192)/G192))</f>
        <v/>
      </c>
    </row>
    <row r="193">
      <c r="A193" s="11" t="n">
        <v>45930</v>
      </c>
      <c r="B193" s="12" t="inlineStr">
        <is>
          <t>US</t>
        </is>
      </c>
      <c r="C193" s="12" t="inlineStr">
        <is>
          <t>Random walk</t>
        </is>
      </c>
      <c r="D193" s="13" t="n">
        <v>0.1000000000000005</v>
      </c>
      <c r="E193" s="13" t="n">
        <v>0</v>
      </c>
      <c r="F193" s="13" t="n">
        <v>4.3</v>
      </c>
      <c r="G193" s="13">
        <f>D193+F193</f>
        <v/>
      </c>
      <c r="H193" s="13">
        <f>E193+F193</f>
        <v/>
      </c>
      <c r="I193" s="13">
        <f>ABS(D193-E193)</f>
        <v/>
      </c>
      <c r="J193" s="13">
        <f>(D193-E193)^2</f>
        <v/>
      </c>
      <c r="K193" s="14">
        <f>IF(ABS(G193)&lt;=1E-8,"",ABS((G193-H193)/G193))</f>
        <v/>
      </c>
    </row>
    <row r="194">
      <c r="A194" s="11" t="n">
        <v>45961</v>
      </c>
      <c r="B194" s="12" t="inlineStr">
        <is>
          <t>AU</t>
        </is>
      </c>
      <c r="C194" s="12" t="inlineStr">
        <is>
          <t>Random walk</t>
        </is>
      </c>
      <c r="D194" s="13" t="n">
        <v>-0.1061500000000004</v>
      </c>
      <c r="E194" s="13" t="n">
        <v>0</v>
      </c>
      <c r="F194" s="13" t="n">
        <v>4.437698</v>
      </c>
      <c r="G194" s="13">
        <f>D194+F194</f>
        <v/>
      </c>
      <c r="H194" s="13">
        <f>E194+F194</f>
        <v/>
      </c>
      <c r="I194" s="13">
        <f>ABS(D194-E194)</f>
        <v/>
      </c>
      <c r="J194" s="13">
        <f>(D194-E194)^2</f>
        <v/>
      </c>
      <c r="K194" s="14">
        <f>IF(ABS(G194)&lt;=1E-8,"",ABS((G194-H194)/G194))</f>
        <v/>
      </c>
    </row>
    <row r="195">
      <c r="A195" s="11" t="n">
        <v>45961</v>
      </c>
      <c r="B195" s="12" t="inlineStr">
        <is>
          <t>CA</t>
        </is>
      </c>
      <c r="C195" s="12" t="inlineStr">
        <is>
          <t>Random walk</t>
        </is>
      </c>
      <c r="D195" s="13" t="n">
        <v>-0.1999999999999993</v>
      </c>
      <c r="E195" s="13" t="n">
        <v>0</v>
      </c>
      <c r="F195" s="13" t="n">
        <v>7.1</v>
      </c>
      <c r="G195" s="13">
        <f>D195+F195</f>
        <v/>
      </c>
      <c r="H195" s="13">
        <f>E195+F195</f>
        <v/>
      </c>
      <c r="I195" s="13">
        <f>ABS(D195-E195)</f>
        <v/>
      </c>
      <c r="J195" s="13">
        <f>(D195-E195)^2</f>
        <v/>
      </c>
      <c r="K195" s="14">
        <f>IF(ABS(G195)&lt;=1E-8,"",ABS((G195-H195)/G195))</f>
        <v/>
      </c>
    </row>
    <row r="196">
      <c r="A196" s="11" t="n">
        <v>45961</v>
      </c>
      <c r="B196" s="12" t="inlineStr">
        <is>
          <t>DE</t>
        </is>
      </c>
      <c r="C196" s="12" t="inlineStr">
        <is>
          <t>Random walk</t>
        </is>
      </c>
      <c r="D196" s="13" t="n">
        <v>0.1</v>
      </c>
      <c r="E196" s="13" t="n">
        <v>0</v>
      </c>
      <c r="F196" s="13" t="n">
        <v>3.8</v>
      </c>
      <c r="G196" s="13">
        <f>D196+F196</f>
        <v/>
      </c>
      <c r="H196" s="13">
        <f>E196+F196</f>
        <v/>
      </c>
      <c r="I196" s="13">
        <f>ABS(D196-E196)</f>
        <v/>
      </c>
      <c r="J196" s="13">
        <f>(D196-E196)^2</f>
        <v/>
      </c>
      <c r="K196" s="14">
        <f>IF(ABS(G196)&lt;=1E-8,"",ABS((G196-H196)/G196))</f>
        <v/>
      </c>
    </row>
    <row r="197">
      <c r="A197" s="11" t="n">
        <v>45961</v>
      </c>
      <c r="B197" s="12" t="inlineStr">
        <is>
          <t>FR</t>
        </is>
      </c>
      <c r="C197" s="12" t="inlineStr">
        <is>
          <t>Random walk</t>
        </is>
      </c>
      <c r="D197" s="13" t="n">
        <v>0.0999999999999996</v>
      </c>
      <c r="E197" s="13" t="n">
        <v>0</v>
      </c>
      <c r="F197" s="13" t="n">
        <v>7.9</v>
      </c>
      <c r="G197" s="13">
        <f>D197+F197</f>
        <v/>
      </c>
      <c r="H197" s="13">
        <f>E197+F197</f>
        <v/>
      </c>
      <c r="I197" s="13">
        <f>ABS(D197-E197)</f>
        <v/>
      </c>
      <c r="J197" s="13">
        <f>(D197-E197)^2</f>
        <v/>
      </c>
      <c r="K197" s="14">
        <f>IF(ABS(G197)&lt;=1E-8,"",ABS((G197-H197)/G197))</f>
        <v/>
      </c>
    </row>
    <row r="198">
      <c r="A198" s="11" t="n">
        <v>45961</v>
      </c>
      <c r="B198" s="12" t="inlineStr">
        <is>
          <t>GB</t>
        </is>
      </c>
      <c r="C198" s="12" t="inlineStr">
        <is>
          <t>Random walk</t>
        </is>
      </c>
      <c r="D198" s="13" t="n">
        <v>0</v>
      </c>
      <c r="E198" s="13" t="n">
        <v>0</v>
      </c>
      <c r="F198" s="13" t="n">
        <v>5.1</v>
      </c>
      <c r="G198" s="13">
        <f>D198+F198</f>
        <v/>
      </c>
      <c r="H198" s="13">
        <f>E198+F198</f>
        <v/>
      </c>
      <c r="I198" s="13">
        <f>ABS(D198-E198)</f>
        <v/>
      </c>
      <c r="J198" s="13">
        <f>(D198-E198)^2</f>
        <v/>
      </c>
      <c r="K198" s="14">
        <f>IF(ABS(G198)&lt;=1E-8,"",ABS((G198-H198)/G198))</f>
        <v/>
      </c>
    </row>
    <row r="199">
      <c r="A199" s="11" t="n">
        <v>45961</v>
      </c>
      <c r="B199" s="12" t="inlineStr">
        <is>
          <t>IT</t>
        </is>
      </c>
      <c r="C199" s="12" t="inlineStr">
        <is>
          <t>Random walk</t>
        </is>
      </c>
      <c r="D199" s="13" t="n">
        <v>-0.2000000000000001</v>
      </c>
      <c r="E199" s="13" t="n">
        <v>0</v>
      </c>
      <c r="F199" s="13" t="n">
        <v>6</v>
      </c>
      <c r="G199" s="13">
        <f>D199+F199</f>
        <v/>
      </c>
      <c r="H199" s="13">
        <f>E199+F199</f>
        <v/>
      </c>
      <c r="I199" s="13">
        <f>ABS(D199-E199)</f>
        <v/>
      </c>
      <c r="J199" s="13">
        <f>(D199-E199)^2</f>
        <v/>
      </c>
      <c r="K199" s="14">
        <f>IF(ABS(G199)&lt;=1E-8,"",ABS((G199-H199)/G199))</f>
        <v/>
      </c>
    </row>
    <row r="200">
      <c r="A200" s="11" t="n">
        <v>45961</v>
      </c>
      <c r="B200" s="12" t="inlineStr">
        <is>
          <t>JP</t>
        </is>
      </c>
      <c r="C200" s="12" t="inlineStr">
        <is>
          <t>Random walk</t>
        </is>
      </c>
      <c r="D200" s="13" t="n">
        <v>0</v>
      </c>
      <c r="E200" s="13" t="n">
        <v>0</v>
      </c>
      <c r="F200" s="13" t="n">
        <v>2.6</v>
      </c>
      <c r="G200" s="13">
        <f>D200+F200</f>
        <v/>
      </c>
      <c r="H200" s="13">
        <f>E200+F200</f>
        <v/>
      </c>
      <c r="I200" s="13">
        <f>ABS(D200-E200)</f>
        <v/>
      </c>
      <c r="J200" s="13">
        <f>(D200-E200)^2</f>
        <v/>
      </c>
      <c r="K200" s="14">
        <f>IF(ABS(G200)&lt;=1E-8,"",ABS((G200-H200)/G200))</f>
        <v/>
      </c>
    </row>
    <row r="201">
      <c r="A201" s="11" t="n">
        <v>45961</v>
      </c>
      <c r="B201" s="12" t="inlineStr">
        <is>
          <t>KR</t>
        </is>
      </c>
      <c r="C201" s="12" t="inlineStr">
        <is>
          <t>Random walk</t>
        </is>
      </c>
      <c r="D201" s="13" t="n">
        <v>0</v>
      </c>
      <c r="E201" s="13" t="n">
        <v>0</v>
      </c>
      <c r="F201" s="13" t="n">
        <v>2.7</v>
      </c>
      <c r="G201" s="13">
        <f>D201+F201</f>
        <v/>
      </c>
      <c r="H201" s="13">
        <f>E201+F201</f>
        <v/>
      </c>
      <c r="I201" s="13">
        <f>ABS(D201-E201)</f>
        <v/>
      </c>
      <c r="J201" s="13">
        <f>(D201-E201)^2</f>
        <v/>
      </c>
      <c r="K201" s="14">
        <f>IF(ABS(G201)&lt;=1E-8,"",ABS((G201-H201)/G201))</f>
        <v/>
      </c>
    </row>
    <row r="202">
      <c r="A202" s="11" t="n">
        <v>45961</v>
      </c>
      <c r="B202" s="12" t="inlineStr">
        <is>
          <t>US</t>
        </is>
      </c>
      <c r="C202" s="12" t="inlineStr">
        <is>
          <t>Random walk</t>
        </is>
      </c>
      <c r="D202" s="13" t="n">
        <v>0.0499999999999998</v>
      </c>
      <c r="E202" s="13" t="n">
        <v>0</v>
      </c>
      <c r="F202" s="13" t="n">
        <v>4.4</v>
      </c>
      <c r="G202" s="13">
        <f>D202+F202</f>
        <v/>
      </c>
      <c r="H202" s="13">
        <f>E202+F202</f>
        <v/>
      </c>
      <c r="I202" s="13">
        <f>ABS(D202-E202)</f>
        <v/>
      </c>
      <c r="J202" s="13">
        <f>(D202-E202)^2</f>
        <v/>
      </c>
      <c r="K202" s="14">
        <f>IF(ABS(G202)&lt;=1E-8,"",ABS((G202-H202)/G202))</f>
        <v/>
      </c>
    </row>
    <row r="203">
      <c r="A203" s="11" t="n">
        <v>45991</v>
      </c>
      <c r="B203" s="12" t="inlineStr">
        <is>
          <t>AU</t>
        </is>
      </c>
      <c r="C203" s="12" t="inlineStr">
        <is>
          <t>Random walk</t>
        </is>
      </c>
      <c r="D203" s="13" t="n">
        <v>-0.0092359999999995</v>
      </c>
      <c r="E203" s="13" t="n">
        <v>0</v>
      </c>
      <c r="F203" s="13" t="n">
        <v>4.331548</v>
      </c>
      <c r="G203" s="13">
        <f>D203+F203</f>
        <v/>
      </c>
      <c r="H203" s="13">
        <f>E203+F203</f>
        <v/>
      </c>
      <c r="I203" s="13">
        <f>ABS(D203-E203)</f>
        <v/>
      </c>
      <c r="J203" s="13">
        <f>(D203-E203)^2</f>
        <v/>
      </c>
      <c r="K203" s="14">
        <f>IF(ABS(G203)&lt;=1E-8,"",ABS((G203-H203)/G203))</f>
        <v/>
      </c>
    </row>
    <row r="204">
      <c r="A204" s="11" t="n">
        <v>45991</v>
      </c>
      <c r="B204" s="12" t="inlineStr">
        <is>
          <t>CA</t>
        </is>
      </c>
      <c r="C204" s="12" t="inlineStr">
        <is>
          <t>Random walk</t>
        </is>
      </c>
      <c r="D204" s="13" t="n">
        <v>-0.3000000000000007</v>
      </c>
      <c r="E204" s="13" t="n">
        <v>0</v>
      </c>
      <c r="F204" s="13" t="n">
        <v>6.9</v>
      </c>
      <c r="G204" s="13">
        <f>D204+F204</f>
        <v/>
      </c>
      <c r="H204" s="13">
        <f>E204+F204</f>
        <v/>
      </c>
      <c r="I204" s="13">
        <f>ABS(D204-E204)</f>
        <v/>
      </c>
      <c r="J204" s="13">
        <f>(D204-E204)^2</f>
        <v/>
      </c>
      <c r="K204" s="14">
        <f>IF(ABS(G204)&lt;=1E-8,"",ABS((G204-H204)/G204))</f>
        <v/>
      </c>
    </row>
    <row r="205">
      <c r="A205" s="11" t="n">
        <v>45991</v>
      </c>
      <c r="B205" s="12" t="inlineStr">
        <is>
          <t>DE</t>
        </is>
      </c>
      <c r="C205" s="12" t="inlineStr">
        <is>
          <t>Random walk</t>
        </is>
      </c>
      <c r="D205" s="13" t="n">
        <v>0</v>
      </c>
      <c r="E205" s="13" t="n">
        <v>0</v>
      </c>
      <c r="F205" s="13" t="n">
        <v>3.9</v>
      </c>
      <c r="G205" s="13">
        <f>D205+F205</f>
        <v/>
      </c>
      <c r="H205" s="13">
        <f>E205+F205</f>
        <v/>
      </c>
      <c r="I205" s="13">
        <f>ABS(D205-E205)</f>
        <v/>
      </c>
      <c r="J205" s="13">
        <f>(D205-E205)^2</f>
        <v/>
      </c>
      <c r="K205" s="14">
        <f>IF(ABS(G205)&lt;=1E-8,"",ABS((G205-H205)/G205))</f>
        <v/>
      </c>
    </row>
    <row r="206">
      <c r="A206" s="11" t="n">
        <v>45991</v>
      </c>
      <c r="B206" s="12" t="inlineStr">
        <is>
          <t>FR</t>
        </is>
      </c>
      <c r="C206" s="12" t="inlineStr">
        <is>
          <t>Random walk</t>
        </is>
      </c>
      <c r="D206" s="13" t="n">
        <v>0</v>
      </c>
      <c r="E206" s="13" t="n">
        <v>0</v>
      </c>
      <c r="F206" s="13" t="n">
        <v>8</v>
      </c>
      <c r="G206" s="13">
        <f>D206+F206</f>
        <v/>
      </c>
      <c r="H206" s="13">
        <f>E206+F206</f>
        <v/>
      </c>
      <c r="I206" s="13">
        <f>ABS(D206-E206)</f>
        <v/>
      </c>
      <c r="J206" s="13">
        <f>(D206-E206)^2</f>
        <v/>
      </c>
      <c r="K206" s="14">
        <f>IF(ABS(G206)&lt;=1E-8,"",ABS((G206-H206)/G206))</f>
        <v/>
      </c>
    </row>
    <row r="207">
      <c r="A207" s="11" t="n">
        <v>45991</v>
      </c>
      <c r="B207" s="12" t="inlineStr">
        <is>
          <t>GB</t>
        </is>
      </c>
      <c r="C207" s="12" t="inlineStr">
        <is>
          <t>Random walk</t>
        </is>
      </c>
      <c r="D207" s="13" t="n">
        <v>0.1000000000000005</v>
      </c>
      <c r="E207" s="13" t="n">
        <v>0</v>
      </c>
      <c r="F207" s="13" t="n">
        <v>5.1</v>
      </c>
      <c r="G207" s="13">
        <f>D207+F207</f>
        <v/>
      </c>
      <c r="H207" s="13">
        <f>E207+F207</f>
        <v/>
      </c>
      <c r="I207" s="13">
        <f>ABS(D207-E207)</f>
        <v/>
      </c>
      <c r="J207" s="13">
        <f>(D207-E207)^2</f>
        <v/>
      </c>
      <c r="K207" s="14">
        <f>IF(ABS(G207)&lt;=1E-8,"",ABS((G207-H207)/G207))</f>
        <v/>
      </c>
    </row>
    <row r="208">
      <c r="A208" s="11" t="n">
        <v>45991</v>
      </c>
      <c r="B208" s="12" t="inlineStr">
        <is>
          <t>IT</t>
        </is>
      </c>
      <c r="C208" s="12" t="inlineStr">
        <is>
          <t>Random walk</t>
        </is>
      </c>
      <c r="D208" s="13" t="n">
        <v>-0.0999999999999996</v>
      </c>
      <c r="E208" s="13" t="n">
        <v>0</v>
      </c>
      <c r="F208" s="13" t="n">
        <v>5.8</v>
      </c>
      <c r="G208" s="13">
        <f>D208+F208</f>
        <v/>
      </c>
      <c r="H208" s="13">
        <f>E208+F208</f>
        <v/>
      </c>
      <c r="I208" s="13">
        <f>ABS(D208-E208)</f>
        <v/>
      </c>
      <c r="J208" s="13">
        <f>(D208-E208)^2</f>
        <v/>
      </c>
      <c r="K208" s="14">
        <f>IF(ABS(G208)&lt;=1E-8,"",ABS((G208-H208)/G208))</f>
        <v/>
      </c>
    </row>
    <row r="209">
      <c r="A209" s="11" t="n">
        <v>45991</v>
      </c>
      <c r="B209" s="12" t="inlineStr">
        <is>
          <t>JP</t>
        </is>
      </c>
      <c r="C209" s="12" t="inlineStr">
        <is>
          <t>Random walk</t>
        </is>
      </c>
      <c r="D209" s="13" t="n">
        <v>0</v>
      </c>
      <c r="E209" s="13" t="n">
        <v>0</v>
      </c>
      <c r="F209" s="13" t="n">
        <v>2.6</v>
      </c>
      <c r="G209" s="13">
        <f>D209+F209</f>
        <v/>
      </c>
      <c r="H209" s="13">
        <f>E209+F209</f>
        <v/>
      </c>
      <c r="I209" s="13">
        <f>ABS(D209-E209)</f>
        <v/>
      </c>
      <c r="J209" s="13">
        <f>(D209-E209)^2</f>
        <v/>
      </c>
      <c r="K209" s="14">
        <f>IF(ABS(G209)&lt;=1E-8,"",ABS((G209-H209)/G209))</f>
        <v/>
      </c>
    </row>
    <row r="210">
      <c r="A210" s="11" t="n">
        <v>45991</v>
      </c>
      <c r="B210" s="12" t="inlineStr">
        <is>
          <t>KR</t>
        </is>
      </c>
      <c r="C210" s="12" t="inlineStr">
        <is>
          <t>Random walk</t>
        </is>
      </c>
      <c r="D210" s="13" t="n">
        <v>0.0999999999999996</v>
      </c>
      <c r="E210" s="13" t="n">
        <v>0</v>
      </c>
      <c r="F210" s="13" t="n">
        <v>2.7</v>
      </c>
      <c r="G210" s="13">
        <f>D210+F210</f>
        <v/>
      </c>
      <c r="H210" s="13">
        <f>E210+F210</f>
        <v/>
      </c>
      <c r="I210" s="13">
        <f>ABS(D210-E210)</f>
        <v/>
      </c>
      <c r="J210" s="13">
        <f>(D210-E210)^2</f>
        <v/>
      </c>
      <c r="K210" s="14">
        <f>IF(ABS(G210)&lt;=1E-8,"",ABS((G210-H210)/G210))</f>
        <v/>
      </c>
    </row>
    <row r="211">
      <c r="A211" s="11" t="n">
        <v>45991</v>
      </c>
      <c r="B211" s="12" t="inlineStr">
        <is>
          <t>US</t>
        </is>
      </c>
      <c r="C211" s="12" t="inlineStr">
        <is>
          <t>Random walk</t>
        </is>
      </c>
      <c r="D211" s="13" t="n">
        <v>0.0499999999999998</v>
      </c>
      <c r="E211" s="13" t="n">
        <v>0</v>
      </c>
      <c r="F211" s="13" t="n">
        <v>4.45</v>
      </c>
      <c r="G211" s="13">
        <f>D211+F211</f>
        <v/>
      </c>
      <c r="H211" s="13">
        <f>E211+F211</f>
        <v/>
      </c>
      <c r="I211" s="13">
        <f>ABS(D211-E211)</f>
        <v/>
      </c>
      <c r="J211" s="13">
        <f>(D211-E211)^2</f>
        <v/>
      </c>
      <c r="K211" s="14">
        <f>IF(ABS(G211)&lt;=1E-8,"",ABS((G211-H211)/G211))</f>
        <v/>
      </c>
    </row>
    <row r="212">
      <c r="A212" s="11" t="n">
        <v>46022</v>
      </c>
      <c r="B212" s="12" t="inlineStr">
        <is>
          <t>AU</t>
        </is>
      </c>
      <c r="C212" s="12" t="inlineStr">
        <is>
          <t>Random walk</t>
        </is>
      </c>
      <c r="D212" s="13" t="n">
        <v>-0.2041919999999999</v>
      </c>
      <c r="E212" s="13" t="n">
        <v>0</v>
      </c>
      <c r="F212" s="13" t="n">
        <v>4.322312</v>
      </c>
      <c r="G212" s="13">
        <f>D212+F212</f>
        <v/>
      </c>
      <c r="H212" s="13">
        <f>E212+F212</f>
        <v/>
      </c>
      <c r="I212" s="13">
        <f>ABS(D212-E212)</f>
        <v/>
      </c>
      <c r="J212" s="13">
        <f>(D212-E212)^2</f>
        <v/>
      </c>
      <c r="K212" s="14">
        <f>IF(ABS(G212)&lt;=1E-8,"",ABS((G212-H212)/G212))</f>
        <v/>
      </c>
    </row>
    <row r="213">
      <c r="A213" s="11" t="n">
        <v>46022</v>
      </c>
      <c r="B213" s="12" t="inlineStr">
        <is>
          <t>CA</t>
        </is>
      </c>
      <c r="C213" s="12" t="inlineStr">
        <is>
          <t>Random walk</t>
        </is>
      </c>
      <c r="D213" s="13" t="n">
        <v>0.2000000000000001</v>
      </c>
      <c r="E213" s="13" t="n">
        <v>0</v>
      </c>
      <c r="F213" s="13" t="n">
        <v>6.6</v>
      </c>
      <c r="G213" s="13">
        <f>D213+F213</f>
        <v/>
      </c>
      <c r="H213" s="13">
        <f>E213+F213</f>
        <v/>
      </c>
      <c r="I213" s="13">
        <f>ABS(D213-E213)</f>
        <v/>
      </c>
      <c r="J213" s="13">
        <f>(D213-E213)^2</f>
        <v/>
      </c>
      <c r="K213" s="14">
        <f>IF(ABS(G213)&lt;=1E-8,"",ABS((G213-H213)/G213))</f>
        <v/>
      </c>
    </row>
    <row r="214">
      <c r="A214" s="11" t="n">
        <v>46022</v>
      </c>
      <c r="B214" s="12" t="inlineStr">
        <is>
          <t>DE</t>
        </is>
      </c>
      <c r="C214" s="12" t="inlineStr">
        <is>
          <t>Random walk</t>
        </is>
      </c>
      <c r="D214" s="13" t="n">
        <v>0</v>
      </c>
      <c r="E214" s="13" t="n">
        <v>0</v>
      </c>
      <c r="F214" s="13" t="n">
        <v>3.9</v>
      </c>
      <c r="G214" s="13">
        <f>D214+F214</f>
        <v/>
      </c>
      <c r="H214" s="13">
        <f>E214+F214</f>
        <v/>
      </c>
      <c r="I214" s="13">
        <f>ABS(D214-E214)</f>
        <v/>
      </c>
      <c r="J214" s="13">
        <f>(D214-E214)^2</f>
        <v/>
      </c>
      <c r="K214" s="14">
        <f>IF(ABS(G214)&lt;=1E-8,"",ABS((G214-H214)/G214))</f>
        <v/>
      </c>
    </row>
    <row r="215">
      <c r="A215" s="11" t="n">
        <v>46022</v>
      </c>
      <c r="B215" s="12" t="inlineStr">
        <is>
          <t>FR</t>
        </is>
      </c>
      <c r="C215" s="12" t="inlineStr">
        <is>
          <t>Random walk</t>
        </is>
      </c>
      <c r="D215" s="13" t="n">
        <v>0</v>
      </c>
      <c r="E215" s="13" t="n">
        <v>0</v>
      </c>
      <c r="F215" s="13" t="n">
        <v>8</v>
      </c>
      <c r="G215" s="13">
        <f>D215+F215</f>
        <v/>
      </c>
      <c r="H215" s="13">
        <f>E215+F215</f>
        <v/>
      </c>
      <c r="I215" s="13">
        <f>ABS(D215-E215)</f>
        <v/>
      </c>
      <c r="J215" s="13">
        <f>(D215-E215)^2</f>
        <v/>
      </c>
      <c r="K215" s="14">
        <f>IF(ABS(G215)&lt;=1E-8,"",ABS((G215-H215)/G215))</f>
        <v/>
      </c>
    </row>
    <row r="216">
      <c r="A216" s="11" t="n">
        <v>46022</v>
      </c>
      <c r="B216" s="12" t="inlineStr">
        <is>
          <t>GB</t>
        </is>
      </c>
      <c r="C216" s="12" t="inlineStr">
        <is>
          <t>Random walk</t>
        </is>
      </c>
      <c r="D216" s="13" t="n">
        <v>0</v>
      </c>
      <c r="E216" s="13" t="n">
        <v>0</v>
      </c>
      <c r="F216" s="13" t="n">
        <v>5.2</v>
      </c>
      <c r="G216" s="13">
        <f>D216+F216</f>
        <v/>
      </c>
      <c r="H216" s="13">
        <f>E216+F216</f>
        <v/>
      </c>
      <c r="I216" s="13">
        <f>ABS(D216-E216)</f>
        <v/>
      </c>
      <c r="J216" s="13">
        <f>(D216-E216)^2</f>
        <v/>
      </c>
      <c r="K216" s="14">
        <f>IF(ABS(G216)&lt;=1E-8,"",ABS((G216-H216)/G216))</f>
        <v/>
      </c>
    </row>
    <row r="217">
      <c r="A217" s="11" t="n">
        <v>46022</v>
      </c>
      <c r="B217" s="12" t="inlineStr">
        <is>
          <t>IT</t>
        </is>
      </c>
      <c r="C217" s="12" t="inlineStr">
        <is>
          <t>Random walk</t>
        </is>
      </c>
      <c r="D217" s="13" t="n">
        <v>-0.1000000000000005</v>
      </c>
      <c r="E217" s="13" t="n">
        <v>0</v>
      </c>
      <c r="F217" s="13" t="n">
        <v>5.7</v>
      </c>
      <c r="G217" s="13">
        <f>D217+F217</f>
        <v/>
      </c>
      <c r="H217" s="13">
        <f>E217+F217</f>
        <v/>
      </c>
      <c r="I217" s="13">
        <f>ABS(D217-E217)</f>
        <v/>
      </c>
      <c r="J217" s="13">
        <f>(D217-E217)^2</f>
        <v/>
      </c>
      <c r="K217" s="14">
        <f>IF(ABS(G217)&lt;=1E-8,"",ABS((G217-H217)/G217))</f>
        <v/>
      </c>
    </row>
    <row r="218">
      <c r="A218" s="11" t="n">
        <v>46022</v>
      </c>
      <c r="B218" s="12" t="inlineStr">
        <is>
          <t>JP</t>
        </is>
      </c>
      <c r="C218" s="12" t="inlineStr">
        <is>
          <t>Random walk</t>
        </is>
      </c>
      <c r="D218" s="13" t="n">
        <v>0</v>
      </c>
      <c r="E218" s="13" t="n">
        <v>0</v>
      </c>
      <c r="F218" s="13" t="n">
        <v>2.6</v>
      </c>
      <c r="G218" s="13">
        <f>D218+F218</f>
        <v/>
      </c>
      <c r="H218" s="13">
        <f>E218+F218</f>
        <v/>
      </c>
      <c r="I218" s="13">
        <f>ABS(D218-E218)</f>
        <v/>
      </c>
      <c r="J218" s="13">
        <f>(D218-E218)^2</f>
        <v/>
      </c>
      <c r="K218" s="14">
        <f>IF(ABS(G218)&lt;=1E-8,"",ABS((G218-H218)/G218))</f>
        <v/>
      </c>
    </row>
    <row r="219">
      <c r="A219" s="11" t="n">
        <v>46022</v>
      </c>
      <c r="B219" s="12" t="inlineStr">
        <is>
          <t>KR</t>
        </is>
      </c>
      <c r="C219" s="12" t="inlineStr">
        <is>
          <t>Random walk</t>
        </is>
      </c>
      <c r="D219" s="13" t="n">
        <v>0.5</v>
      </c>
      <c r="E219" s="13" t="n">
        <v>0</v>
      </c>
      <c r="F219" s="13" t="n">
        <v>2.8</v>
      </c>
      <c r="G219" s="13">
        <f>D219+F219</f>
        <v/>
      </c>
      <c r="H219" s="13">
        <f>E219+F219</f>
        <v/>
      </c>
      <c r="I219" s="13">
        <f>ABS(D219-E219)</f>
        <v/>
      </c>
      <c r="J219" s="13">
        <f>(D219-E219)^2</f>
        <v/>
      </c>
      <c r="K219" s="14">
        <f>IF(ABS(G219)&lt;=1E-8,"",ABS((G219-H219)/G219))</f>
        <v/>
      </c>
    </row>
    <row r="220">
      <c r="A220" s="11" t="n">
        <v>46022</v>
      </c>
      <c r="B220" s="12" t="inlineStr">
        <is>
          <t>US</t>
        </is>
      </c>
      <c r="C220" s="12" t="inlineStr">
        <is>
          <t>Random walk</t>
        </is>
      </c>
      <c r="D220" s="13" t="n">
        <v>-0.0999999999999996</v>
      </c>
      <c r="E220" s="13" t="n">
        <v>0</v>
      </c>
      <c r="F220" s="13" t="n">
        <v>4.5</v>
      </c>
      <c r="G220" s="13">
        <f>D220+F220</f>
        <v/>
      </c>
      <c r="H220" s="13">
        <f>E220+F220</f>
        <v/>
      </c>
      <c r="I220" s="13">
        <f>ABS(D220-E220)</f>
        <v/>
      </c>
      <c r="J220" s="13">
        <f>(D220-E220)^2</f>
        <v/>
      </c>
      <c r="K220" s="14">
        <f>IF(ABS(G220)&lt;=1E-8,"",ABS((G220-H220)/G220))</f>
        <v/>
      </c>
    </row>
    <row r="221">
      <c r="A221" s="11" t="n">
        <v>45322</v>
      </c>
      <c r="B221" s="12" t="inlineStr">
        <is>
          <t>AU</t>
        </is>
      </c>
      <c r="C221" s="12" t="inlineStr">
        <is>
          <t>LightGBM</t>
        </is>
      </c>
      <c r="D221" s="13" t="n">
        <v>0.1054659999999998</v>
      </c>
      <c r="E221" s="13" t="n">
        <v>-0.0015534738010251</v>
      </c>
      <c r="F221" s="13" t="n">
        <v>3.987057</v>
      </c>
      <c r="G221" s="13">
        <f>D221+F221</f>
        <v/>
      </c>
      <c r="H221" s="13">
        <f>E221+F221</f>
        <v/>
      </c>
      <c r="I221" s="13">
        <f>ABS(D221-E221)</f>
        <v/>
      </c>
      <c r="J221" s="13">
        <f>(D221-E221)^2</f>
        <v/>
      </c>
      <c r="K221" s="14">
        <f>IF(ABS(G221)&lt;=1E-8,"",ABS((G221-H221)/G221))</f>
        <v/>
      </c>
    </row>
    <row r="222">
      <c r="A222" s="11" t="n">
        <v>45322</v>
      </c>
      <c r="B222" s="12" t="inlineStr">
        <is>
          <t>CA</t>
        </is>
      </c>
      <c r="C222" s="12" t="inlineStr">
        <is>
          <t>LightGBM</t>
        </is>
      </c>
      <c r="D222" s="13" t="n">
        <v>-0.0999999999999996</v>
      </c>
      <c r="E222" s="13" t="n">
        <v>-0.0558305700218636</v>
      </c>
      <c r="F222" s="13" t="n">
        <v>5.8</v>
      </c>
      <c r="G222" s="13">
        <f>D222+F222</f>
        <v/>
      </c>
      <c r="H222" s="13">
        <f>E222+F222</f>
        <v/>
      </c>
      <c r="I222" s="13">
        <f>ABS(D222-E222)</f>
        <v/>
      </c>
      <c r="J222" s="13">
        <f>(D222-E222)^2</f>
        <v/>
      </c>
      <c r="K222" s="14">
        <f>IF(ABS(G222)&lt;=1E-8,"",ABS((G222-H222)/G222))</f>
        <v/>
      </c>
    </row>
    <row r="223">
      <c r="A223" s="11" t="n">
        <v>45322</v>
      </c>
      <c r="B223" s="12" t="inlineStr">
        <is>
          <t>DE</t>
        </is>
      </c>
      <c r="C223" s="12" t="inlineStr">
        <is>
          <t>LightGBM</t>
        </is>
      </c>
      <c r="D223" s="13" t="n">
        <v>0</v>
      </c>
      <c r="E223" s="13" t="n">
        <v>-0.0020502742305944</v>
      </c>
      <c r="F223" s="13" t="n">
        <v>3.2</v>
      </c>
      <c r="G223" s="13">
        <f>D223+F223</f>
        <v/>
      </c>
      <c r="H223" s="13">
        <f>E223+F223</f>
        <v/>
      </c>
      <c r="I223" s="13">
        <f>ABS(D223-E223)</f>
        <v/>
      </c>
      <c r="J223" s="13">
        <f>(D223-E223)^2</f>
        <v/>
      </c>
      <c r="K223" s="14">
        <f>IF(ABS(G223)&lt;=1E-8,"",ABS((G223-H223)/G223))</f>
        <v/>
      </c>
    </row>
    <row r="224">
      <c r="A224" s="11" t="n">
        <v>45322</v>
      </c>
      <c r="B224" s="12" t="inlineStr">
        <is>
          <t>FR</t>
        </is>
      </c>
      <c r="C224" s="12" t="inlineStr">
        <is>
          <t>LightGBM</t>
        </is>
      </c>
      <c r="D224" s="13" t="n">
        <v>0</v>
      </c>
      <c r="E224" s="13" t="n">
        <v>-0.0033700323435727</v>
      </c>
      <c r="F224" s="13" t="n">
        <v>7.6</v>
      </c>
      <c r="G224" s="13">
        <f>D224+F224</f>
        <v/>
      </c>
      <c r="H224" s="13">
        <f>E224+F224</f>
        <v/>
      </c>
      <c r="I224" s="13">
        <f>ABS(D224-E224)</f>
        <v/>
      </c>
      <c r="J224" s="13">
        <f>(D224-E224)^2</f>
        <v/>
      </c>
      <c r="K224" s="14">
        <f>IF(ABS(G224)&lt;=1E-8,"",ABS((G224-H224)/G224))</f>
        <v/>
      </c>
    </row>
    <row r="225">
      <c r="A225" s="11" t="n">
        <v>45322</v>
      </c>
      <c r="B225" s="12" t="inlineStr">
        <is>
          <t>GB</t>
        </is>
      </c>
      <c r="C225" s="12" t="inlineStr">
        <is>
          <t>LightGBM</t>
        </is>
      </c>
      <c r="D225" s="13" t="n">
        <v>0.1000000000000005</v>
      </c>
      <c r="E225" s="13" t="n">
        <v>-0.0057165975852069</v>
      </c>
      <c r="F225" s="13" t="n">
        <v>4.1</v>
      </c>
      <c r="G225" s="13">
        <f>D225+F225</f>
        <v/>
      </c>
      <c r="H225" s="13">
        <f>E225+F225</f>
        <v/>
      </c>
      <c r="I225" s="13">
        <f>ABS(D225-E225)</f>
        <v/>
      </c>
      <c r="J225" s="13">
        <f>(D225-E225)^2</f>
        <v/>
      </c>
      <c r="K225" s="14">
        <f>IF(ABS(G225)&lt;=1E-8,"",ABS((G225-H225)/G225))</f>
        <v/>
      </c>
    </row>
    <row r="226">
      <c r="A226" s="11" t="n">
        <v>45322</v>
      </c>
      <c r="B226" s="12" t="inlineStr">
        <is>
          <t>IT</t>
        </is>
      </c>
      <c r="C226" s="12" t="inlineStr">
        <is>
          <t>LightGBM</t>
        </is>
      </c>
      <c r="D226" s="13" t="n">
        <v>0</v>
      </c>
      <c r="E226" s="13" t="n">
        <v>-0.0453733790304769</v>
      </c>
      <c r="F226" s="13" t="n">
        <v>7.1</v>
      </c>
      <c r="G226" s="13">
        <f>D226+F226</f>
        <v/>
      </c>
      <c r="H226" s="13">
        <f>E226+F226</f>
        <v/>
      </c>
      <c r="I226" s="13">
        <f>ABS(D226-E226)</f>
        <v/>
      </c>
      <c r="J226" s="13">
        <f>(D226-E226)^2</f>
        <v/>
      </c>
      <c r="K226" s="14">
        <f>IF(ABS(G226)&lt;=1E-8,"",ABS((G226-H226)/G226))</f>
        <v/>
      </c>
    </row>
    <row r="227">
      <c r="A227" s="11" t="n">
        <v>45322</v>
      </c>
      <c r="B227" s="12" t="inlineStr">
        <is>
          <t>JP</t>
        </is>
      </c>
      <c r="C227" s="12" t="inlineStr">
        <is>
          <t>LightGBM</t>
        </is>
      </c>
      <c r="D227" s="13" t="n">
        <v>0</v>
      </c>
      <c r="E227" s="13" t="n">
        <v>-0.0076710154222386</v>
      </c>
      <c r="F227" s="13" t="n">
        <v>2.5</v>
      </c>
      <c r="G227" s="13">
        <f>D227+F227</f>
        <v/>
      </c>
      <c r="H227" s="13">
        <f>E227+F227</f>
        <v/>
      </c>
      <c r="I227" s="13">
        <f>ABS(D227-E227)</f>
        <v/>
      </c>
      <c r="J227" s="13">
        <f>(D227-E227)^2</f>
        <v/>
      </c>
      <c r="K227" s="14">
        <f>IF(ABS(G227)&lt;=1E-8,"",ABS((G227-H227)/G227))</f>
        <v/>
      </c>
    </row>
    <row r="228">
      <c r="A228" s="11" t="n">
        <v>45322</v>
      </c>
      <c r="B228" s="12" t="inlineStr">
        <is>
          <t>KR</t>
        </is>
      </c>
      <c r="C228" s="12" t="inlineStr">
        <is>
          <t>LightGBM</t>
        </is>
      </c>
      <c r="D228" s="13" t="n">
        <v>0</v>
      </c>
      <c r="E228" s="13" t="n">
        <v>0.0360575995583232</v>
      </c>
      <c r="F228" s="13" t="n">
        <v>2.8</v>
      </c>
      <c r="G228" s="13">
        <f>D228+F228</f>
        <v/>
      </c>
      <c r="H228" s="13">
        <f>E228+F228</f>
        <v/>
      </c>
      <c r="I228" s="13">
        <f>ABS(D228-E228)</f>
        <v/>
      </c>
      <c r="J228" s="13">
        <f>(D228-E228)^2</f>
        <v/>
      </c>
      <c r="K228" s="14">
        <f>IF(ABS(G228)&lt;=1E-8,"",ABS((G228-H228)/G228))</f>
        <v/>
      </c>
    </row>
    <row r="229">
      <c r="A229" s="11" t="n">
        <v>45322</v>
      </c>
      <c r="B229" s="12" t="inlineStr">
        <is>
          <t>US</t>
        </is>
      </c>
      <c r="C229" s="12" t="inlineStr">
        <is>
          <t>LightGBM</t>
        </is>
      </c>
      <c r="D229" s="13" t="n">
        <v>-0.0999999999999996</v>
      </c>
      <c r="E229" s="13" t="n">
        <v>-0.0056047372370206</v>
      </c>
      <c r="F229" s="13" t="n">
        <v>3.8</v>
      </c>
      <c r="G229" s="13">
        <f>D229+F229</f>
        <v/>
      </c>
      <c r="H229" s="13">
        <f>E229+F229</f>
        <v/>
      </c>
      <c r="I229" s="13">
        <f>ABS(D229-E229)</f>
        <v/>
      </c>
      <c r="J229" s="13">
        <f>(D229-E229)^2</f>
        <v/>
      </c>
      <c r="K229" s="14">
        <f>IF(ABS(G229)&lt;=1E-8,"",ABS((G229-H229)/G229))</f>
        <v/>
      </c>
    </row>
    <row r="230">
      <c r="A230" s="11" t="n">
        <v>45351</v>
      </c>
      <c r="B230" s="12" t="inlineStr">
        <is>
          <t>AU</t>
        </is>
      </c>
      <c r="C230" s="12" t="inlineStr">
        <is>
          <t>LightGBM</t>
        </is>
      </c>
      <c r="D230" s="13" t="n">
        <v>-0.3511820000000001</v>
      </c>
      <c r="E230" s="13" t="n">
        <v>0.0292676174330706</v>
      </c>
      <c r="F230" s="13" t="n">
        <v>4.092523</v>
      </c>
      <c r="G230" s="13">
        <f>D230+F230</f>
        <v/>
      </c>
      <c r="H230" s="13">
        <f>E230+F230</f>
        <v/>
      </c>
      <c r="I230" s="13">
        <f>ABS(D230-E230)</f>
        <v/>
      </c>
      <c r="J230" s="13">
        <f>(D230-E230)^2</f>
        <v/>
      </c>
      <c r="K230" s="14">
        <f>IF(ABS(G230)&lt;=1E-8,"",ABS((G230-H230)/G230))</f>
        <v/>
      </c>
    </row>
    <row r="231">
      <c r="A231" s="11" t="n">
        <v>45351</v>
      </c>
      <c r="B231" s="12" t="inlineStr">
        <is>
          <t>CA</t>
        </is>
      </c>
      <c r="C231" s="12" t="inlineStr">
        <is>
          <t>LightGBM</t>
        </is>
      </c>
      <c r="D231" s="13" t="n">
        <v>0.2000000000000001</v>
      </c>
      <c r="E231" s="13" t="n">
        <v>0.0040638977764352</v>
      </c>
      <c r="F231" s="13" t="n">
        <v>5.7</v>
      </c>
      <c r="G231" s="13">
        <f>D231+F231</f>
        <v/>
      </c>
      <c r="H231" s="13">
        <f>E231+F231</f>
        <v/>
      </c>
      <c r="I231" s="13">
        <f>ABS(D231-E231)</f>
        <v/>
      </c>
      <c r="J231" s="13">
        <f>(D231-E231)^2</f>
        <v/>
      </c>
      <c r="K231" s="14">
        <f>IF(ABS(G231)&lt;=1E-8,"",ABS((G231-H231)/G231))</f>
        <v/>
      </c>
    </row>
    <row r="232">
      <c r="A232" s="11" t="n">
        <v>45351</v>
      </c>
      <c r="B232" s="12" t="inlineStr">
        <is>
          <t>DE</t>
        </is>
      </c>
      <c r="C232" s="12" t="inlineStr">
        <is>
          <t>LightGBM</t>
        </is>
      </c>
      <c r="D232" s="13" t="n">
        <v>0</v>
      </c>
      <c r="E232" s="13" t="n">
        <v>0.0055947104587404</v>
      </c>
      <c r="F232" s="13" t="n">
        <v>3.2</v>
      </c>
      <c r="G232" s="13">
        <f>D232+F232</f>
        <v/>
      </c>
      <c r="H232" s="13">
        <f>E232+F232</f>
        <v/>
      </c>
      <c r="I232" s="13">
        <f>ABS(D232-E232)</f>
        <v/>
      </c>
      <c r="J232" s="13">
        <f>(D232-E232)^2</f>
        <v/>
      </c>
      <c r="K232" s="14">
        <f>IF(ABS(G232)&lt;=1E-8,"",ABS((G232-H232)/G232))</f>
        <v/>
      </c>
    </row>
    <row r="233">
      <c r="A233" s="11" t="n">
        <v>45351</v>
      </c>
      <c r="B233" s="12" t="inlineStr">
        <is>
          <t>FR</t>
        </is>
      </c>
      <c r="C233" s="12" t="inlineStr">
        <is>
          <t>LightGBM</t>
        </is>
      </c>
      <c r="D233" s="13" t="n">
        <v>-0.0999999999999996</v>
      </c>
      <c r="E233" s="13" t="n">
        <v>-0.0042793175934421</v>
      </c>
      <c r="F233" s="13" t="n">
        <v>7.6</v>
      </c>
      <c r="G233" s="13">
        <f>D233+F233</f>
        <v/>
      </c>
      <c r="H233" s="13">
        <f>E233+F233</f>
        <v/>
      </c>
      <c r="I233" s="13">
        <f>ABS(D233-E233)</f>
        <v/>
      </c>
      <c r="J233" s="13">
        <f>(D233-E233)^2</f>
        <v/>
      </c>
      <c r="K233" s="14">
        <f>IF(ABS(G233)&lt;=1E-8,"",ABS((G233-H233)/G233))</f>
        <v/>
      </c>
    </row>
    <row r="234">
      <c r="A234" s="11" t="n">
        <v>45351</v>
      </c>
      <c r="B234" s="12" t="inlineStr">
        <is>
          <t>GB</t>
        </is>
      </c>
      <c r="C234" s="12" t="inlineStr">
        <is>
          <t>LightGBM</t>
        </is>
      </c>
      <c r="D234" s="13" t="n">
        <v>0.0999999999999996</v>
      </c>
      <c r="E234" s="13" t="n">
        <v>-0.0121897486231369</v>
      </c>
      <c r="F234" s="13" t="n">
        <v>4.2</v>
      </c>
      <c r="G234" s="13">
        <f>D234+F234</f>
        <v/>
      </c>
      <c r="H234" s="13">
        <f>E234+F234</f>
        <v/>
      </c>
      <c r="I234" s="13">
        <f>ABS(D234-E234)</f>
        <v/>
      </c>
      <c r="J234" s="13">
        <f>(D234-E234)^2</f>
        <v/>
      </c>
      <c r="K234" s="14">
        <f>IF(ABS(G234)&lt;=1E-8,"",ABS((G234-H234)/G234))</f>
        <v/>
      </c>
    </row>
    <row r="235">
      <c r="A235" s="11" t="n">
        <v>45351</v>
      </c>
      <c r="B235" s="12" t="inlineStr">
        <is>
          <t>IT</t>
        </is>
      </c>
      <c r="C235" s="12" t="inlineStr">
        <is>
          <t>LightGBM</t>
        </is>
      </c>
      <c r="D235" s="13" t="n">
        <v>0.2000000000000001</v>
      </c>
      <c r="E235" s="13" t="n">
        <v>-0.0320646449019656</v>
      </c>
      <c r="F235" s="13" t="n">
        <v>7.1</v>
      </c>
      <c r="G235" s="13">
        <f>D235+F235</f>
        <v/>
      </c>
      <c r="H235" s="13">
        <f>E235+F235</f>
        <v/>
      </c>
      <c r="I235" s="13">
        <f>ABS(D235-E235)</f>
        <v/>
      </c>
      <c r="J235" s="13">
        <f>(D235-E235)^2</f>
        <v/>
      </c>
      <c r="K235" s="14">
        <f>IF(ABS(G235)&lt;=1E-8,"",ABS((G235-H235)/G235))</f>
        <v/>
      </c>
    </row>
    <row r="236">
      <c r="A236" s="11" t="n">
        <v>45351</v>
      </c>
      <c r="B236" s="12" t="inlineStr">
        <is>
          <t>JP</t>
        </is>
      </c>
      <c r="C236" s="12" t="inlineStr">
        <is>
          <t>LightGBM</t>
        </is>
      </c>
      <c r="D236" s="13" t="n">
        <v>0.1</v>
      </c>
      <c r="E236" s="13" t="n">
        <v>-0.008293625767046901</v>
      </c>
      <c r="F236" s="13" t="n">
        <v>2.5</v>
      </c>
      <c r="G236" s="13">
        <f>D236+F236</f>
        <v/>
      </c>
      <c r="H236" s="13">
        <f>E236+F236</f>
        <v/>
      </c>
      <c r="I236" s="13">
        <f>ABS(D236-E236)</f>
        <v/>
      </c>
      <c r="J236" s="13">
        <f>(D236-E236)^2</f>
        <v/>
      </c>
      <c r="K236" s="14">
        <f>IF(ABS(G236)&lt;=1E-8,"",ABS((G236-H236)/G236))</f>
        <v/>
      </c>
    </row>
    <row r="237">
      <c r="A237" s="11" t="n">
        <v>45351</v>
      </c>
      <c r="B237" s="12" t="inlineStr">
        <is>
          <t>KR</t>
        </is>
      </c>
      <c r="C237" s="12" t="inlineStr">
        <is>
          <t>LightGBM</t>
        </is>
      </c>
      <c r="D237" s="13" t="n">
        <v>-0.0999999999999996</v>
      </c>
      <c r="E237" s="13" t="n">
        <v>0.0296080654772853</v>
      </c>
      <c r="F237" s="13" t="n">
        <v>2.8</v>
      </c>
      <c r="G237" s="13">
        <f>D237+F237</f>
        <v/>
      </c>
      <c r="H237" s="13">
        <f>E237+F237</f>
        <v/>
      </c>
      <c r="I237" s="13">
        <f>ABS(D237-E237)</f>
        <v/>
      </c>
      <c r="J237" s="13">
        <f>(D237-E237)^2</f>
        <v/>
      </c>
      <c r="K237" s="14">
        <f>IF(ABS(G237)&lt;=1E-8,"",ABS((G237-H237)/G237))</f>
        <v/>
      </c>
    </row>
    <row r="238">
      <c r="A238" s="11" t="n">
        <v>45351</v>
      </c>
      <c r="B238" s="12" t="inlineStr">
        <is>
          <t>US</t>
        </is>
      </c>
      <c r="C238" s="12" t="inlineStr">
        <is>
          <t>LightGBM</t>
        </is>
      </c>
      <c r="D238" s="13" t="n">
        <v>0.1999999999999997</v>
      </c>
      <c r="E238" s="13" t="n">
        <v>-0.0321001974478322</v>
      </c>
      <c r="F238" s="13" t="n">
        <v>3.7</v>
      </c>
      <c r="G238" s="13">
        <f>D238+F238</f>
        <v/>
      </c>
      <c r="H238" s="13">
        <f>E238+F238</f>
        <v/>
      </c>
      <c r="I238" s="13">
        <f>ABS(D238-E238)</f>
        <v/>
      </c>
      <c r="J238" s="13">
        <f>(D238-E238)^2</f>
        <v/>
      </c>
      <c r="K238" s="14">
        <f>IF(ABS(G238)&lt;=1E-8,"",ABS((G238-H238)/G238))</f>
        <v/>
      </c>
    </row>
    <row r="239">
      <c r="A239" s="11" t="n">
        <v>45382</v>
      </c>
      <c r="B239" s="12" t="inlineStr">
        <is>
          <t>AU</t>
        </is>
      </c>
      <c r="C239" s="12" t="inlineStr">
        <is>
          <t>LightGBM</t>
        </is>
      </c>
      <c r="D239" s="13" t="n">
        <v>0.158709</v>
      </c>
      <c r="E239" s="13" t="n">
        <v>0.0259693850619723</v>
      </c>
      <c r="F239" s="13" t="n">
        <v>3.741341</v>
      </c>
      <c r="G239" s="13">
        <f>D239+F239</f>
        <v/>
      </c>
      <c r="H239" s="13">
        <f>E239+F239</f>
        <v/>
      </c>
      <c r="I239" s="13">
        <f>ABS(D239-E239)</f>
        <v/>
      </c>
      <c r="J239" s="13">
        <f>(D239-E239)^2</f>
        <v/>
      </c>
      <c r="K239" s="14">
        <f>IF(ABS(G239)&lt;=1E-8,"",ABS((G239-H239)/G239))</f>
        <v/>
      </c>
    </row>
    <row r="240">
      <c r="A240" s="11" t="n">
        <v>45382</v>
      </c>
      <c r="B240" s="12" t="inlineStr">
        <is>
          <t>CA</t>
        </is>
      </c>
      <c r="C240" s="12" t="inlineStr">
        <is>
          <t>LightGBM</t>
        </is>
      </c>
      <c r="D240" s="13" t="n">
        <v>0.1999999999999993</v>
      </c>
      <c r="E240" s="13" t="n">
        <v>-0.0173548961211712</v>
      </c>
      <c r="F240" s="13" t="n">
        <v>5.9</v>
      </c>
      <c r="G240" s="13">
        <f>D240+F240</f>
        <v/>
      </c>
      <c r="H240" s="13">
        <f>E240+F240</f>
        <v/>
      </c>
      <c r="I240" s="13">
        <f>ABS(D240-E240)</f>
        <v/>
      </c>
      <c r="J240" s="13">
        <f>(D240-E240)^2</f>
        <v/>
      </c>
      <c r="K240" s="14">
        <f>IF(ABS(G240)&lt;=1E-8,"",ABS((G240-H240)/G240))</f>
        <v/>
      </c>
    </row>
    <row r="241">
      <c r="A241" s="11" t="n">
        <v>45382</v>
      </c>
      <c r="B241" s="12" t="inlineStr">
        <is>
          <t>DE</t>
        </is>
      </c>
      <c r="C241" s="12" t="inlineStr">
        <is>
          <t>LightGBM</t>
        </is>
      </c>
      <c r="D241" s="13" t="n">
        <v>0.0999999999999996</v>
      </c>
      <c r="E241" s="13" t="n">
        <v>0.0125874827972844</v>
      </c>
      <c r="F241" s="13" t="n">
        <v>3.2</v>
      </c>
      <c r="G241" s="13">
        <f>D241+F241</f>
        <v/>
      </c>
      <c r="H241" s="13">
        <f>E241+F241</f>
        <v/>
      </c>
      <c r="I241" s="13">
        <f>ABS(D241-E241)</f>
        <v/>
      </c>
      <c r="J241" s="13">
        <f>(D241-E241)^2</f>
        <v/>
      </c>
      <c r="K241" s="14">
        <f>IF(ABS(G241)&lt;=1E-8,"",ABS((G241-H241)/G241))</f>
        <v/>
      </c>
    </row>
    <row r="242">
      <c r="A242" s="11" t="n">
        <v>45382</v>
      </c>
      <c r="B242" s="12" t="inlineStr">
        <is>
          <t>FR</t>
        </is>
      </c>
      <c r="C242" s="12" t="inlineStr">
        <is>
          <t>LightGBM</t>
        </is>
      </c>
      <c r="D242" s="13" t="n">
        <v>-0.0999999999999996</v>
      </c>
      <c r="E242" s="13" t="n">
        <v>-0.0014391109066533</v>
      </c>
      <c r="F242" s="13" t="n">
        <v>7.5</v>
      </c>
      <c r="G242" s="13">
        <f>D242+F242</f>
        <v/>
      </c>
      <c r="H242" s="13">
        <f>E242+F242</f>
        <v/>
      </c>
      <c r="I242" s="13">
        <f>ABS(D242-E242)</f>
        <v/>
      </c>
      <c r="J242" s="13">
        <f>(D242-E242)^2</f>
        <v/>
      </c>
      <c r="K242" s="14">
        <f>IF(ABS(G242)&lt;=1E-8,"",ABS((G242-H242)/G242))</f>
        <v/>
      </c>
    </row>
    <row r="243">
      <c r="A243" s="11" t="n">
        <v>45382</v>
      </c>
      <c r="B243" s="12" t="inlineStr">
        <is>
          <t>GB</t>
        </is>
      </c>
      <c r="C243" s="12" t="inlineStr">
        <is>
          <t>LightGBM</t>
        </is>
      </c>
      <c r="D243" s="13" t="n">
        <v>0.1000000000000005</v>
      </c>
      <c r="E243" s="13" t="n">
        <v>0.0046557382861206</v>
      </c>
      <c r="F243" s="13" t="n">
        <v>4.3</v>
      </c>
      <c r="G243" s="13">
        <f>D243+F243</f>
        <v/>
      </c>
      <c r="H243" s="13">
        <f>E243+F243</f>
        <v/>
      </c>
      <c r="I243" s="13">
        <f>ABS(D243-E243)</f>
        <v/>
      </c>
      <c r="J243" s="13">
        <f>(D243-E243)^2</f>
        <v/>
      </c>
      <c r="K243" s="14">
        <f>IF(ABS(G243)&lt;=1E-8,"",ABS((G243-H243)/G243))</f>
        <v/>
      </c>
    </row>
    <row r="244">
      <c r="A244" s="11" t="n">
        <v>45382</v>
      </c>
      <c r="B244" s="12" t="inlineStr">
        <is>
          <t>IT</t>
        </is>
      </c>
      <c r="C244" s="12" t="inlineStr">
        <is>
          <t>LightGBM</t>
        </is>
      </c>
      <c r="D244" s="13" t="n">
        <v>-0.3999999999999994</v>
      </c>
      <c r="E244" s="13" t="n">
        <v>-0.0243713928570126</v>
      </c>
      <c r="F244" s="13" t="n">
        <v>7.3</v>
      </c>
      <c r="G244" s="13">
        <f>D244+F244</f>
        <v/>
      </c>
      <c r="H244" s="13">
        <f>E244+F244</f>
        <v/>
      </c>
      <c r="I244" s="13">
        <f>ABS(D244-E244)</f>
        <v/>
      </c>
      <c r="J244" s="13">
        <f>(D244-E244)^2</f>
        <v/>
      </c>
      <c r="K244" s="14">
        <f>IF(ABS(G244)&lt;=1E-8,"",ABS((G244-H244)/G244))</f>
        <v/>
      </c>
    </row>
    <row r="245">
      <c r="A245" s="11" t="n">
        <v>45382</v>
      </c>
      <c r="B245" s="12" t="inlineStr">
        <is>
          <t>JP</t>
        </is>
      </c>
      <c r="C245" s="12" t="inlineStr">
        <is>
          <t>LightGBM</t>
        </is>
      </c>
      <c r="D245" s="13" t="n">
        <v>0</v>
      </c>
      <c r="E245" s="13" t="n">
        <v>0.0026894060402969</v>
      </c>
      <c r="F245" s="13" t="n">
        <v>2.6</v>
      </c>
      <c r="G245" s="13">
        <f>D245+F245</f>
        <v/>
      </c>
      <c r="H245" s="13">
        <f>E245+F245</f>
        <v/>
      </c>
      <c r="I245" s="13">
        <f>ABS(D245-E245)</f>
        <v/>
      </c>
      <c r="J245" s="13">
        <f>(D245-E245)^2</f>
        <v/>
      </c>
      <c r="K245" s="14">
        <f>IF(ABS(G245)&lt;=1E-8,"",ABS((G245-H245)/G245))</f>
        <v/>
      </c>
    </row>
    <row r="246">
      <c r="A246" s="11" t="n">
        <v>45382</v>
      </c>
      <c r="B246" s="12" t="inlineStr">
        <is>
          <t>KR</t>
        </is>
      </c>
      <c r="C246" s="12" t="inlineStr">
        <is>
          <t>LightGBM</t>
        </is>
      </c>
      <c r="D246" s="13" t="n">
        <v>0.0999999999999996</v>
      </c>
      <c r="E246" s="13" t="n">
        <v>0.0504738983738893</v>
      </c>
      <c r="F246" s="13" t="n">
        <v>2.7</v>
      </c>
      <c r="G246" s="13">
        <f>D246+F246</f>
        <v/>
      </c>
      <c r="H246" s="13">
        <f>E246+F246</f>
        <v/>
      </c>
      <c r="I246" s="13">
        <f>ABS(D246-E246)</f>
        <v/>
      </c>
      <c r="J246" s="13">
        <f>(D246-E246)^2</f>
        <v/>
      </c>
      <c r="K246" s="14">
        <f>IF(ABS(G246)&lt;=1E-8,"",ABS((G246-H246)/G246))</f>
        <v/>
      </c>
    </row>
    <row r="247">
      <c r="A247" s="11" t="n">
        <v>45382</v>
      </c>
      <c r="B247" s="12" t="inlineStr">
        <is>
          <t>US</t>
        </is>
      </c>
      <c r="C247" s="12" t="inlineStr">
        <is>
          <t>LightGBM</t>
        </is>
      </c>
      <c r="D247" s="13" t="n">
        <v>0</v>
      </c>
      <c r="E247" s="13" t="n">
        <v>-0.008005535417950601</v>
      </c>
      <c r="F247" s="13" t="n">
        <v>3.9</v>
      </c>
      <c r="G247" s="13">
        <f>D247+F247</f>
        <v/>
      </c>
      <c r="H247" s="13">
        <f>E247+F247</f>
        <v/>
      </c>
      <c r="I247" s="13">
        <f>ABS(D247-E247)</f>
        <v/>
      </c>
      <c r="J247" s="13">
        <f>(D247-E247)^2</f>
        <v/>
      </c>
      <c r="K247" s="14">
        <f>IF(ABS(G247)&lt;=1E-8,"",ABS((G247-H247)/G247))</f>
        <v/>
      </c>
    </row>
    <row r="248">
      <c r="A248" s="11" t="n">
        <v>45412</v>
      </c>
      <c r="B248" s="12" t="inlineStr">
        <is>
          <t>AU</t>
        </is>
      </c>
      <c r="C248" s="12" t="inlineStr">
        <is>
          <t>LightGBM</t>
        </is>
      </c>
      <c r="D248" s="13" t="n">
        <v>0.1814180000000003</v>
      </c>
      <c r="E248" s="13" t="n">
        <v>0.0096386993970487</v>
      </c>
      <c r="F248" s="13" t="n">
        <v>3.90005</v>
      </c>
      <c r="G248" s="13">
        <f>D248+F248</f>
        <v/>
      </c>
      <c r="H248" s="13">
        <f>E248+F248</f>
        <v/>
      </c>
      <c r="I248" s="13">
        <f>ABS(D248-E248)</f>
        <v/>
      </c>
      <c r="J248" s="13">
        <f>(D248-E248)^2</f>
        <v/>
      </c>
      <c r="K248" s="14">
        <f>IF(ABS(G248)&lt;=1E-8,"",ABS((G248-H248)/G248))</f>
        <v/>
      </c>
    </row>
    <row r="249">
      <c r="A249" s="11" t="n">
        <v>45412</v>
      </c>
      <c r="B249" s="12" t="inlineStr">
        <is>
          <t>CA</t>
        </is>
      </c>
      <c r="C249" s="12" t="inlineStr">
        <is>
          <t>LightGBM</t>
        </is>
      </c>
      <c r="D249" s="13" t="n">
        <v>0.1000000000000005</v>
      </c>
      <c r="E249" s="13" t="n">
        <v>-0.0429494121197022</v>
      </c>
      <c r="F249" s="13" t="n">
        <v>6.1</v>
      </c>
      <c r="G249" s="13">
        <f>D249+F249</f>
        <v/>
      </c>
      <c r="H249" s="13">
        <f>E249+F249</f>
        <v/>
      </c>
      <c r="I249" s="13">
        <f>ABS(D249-E249)</f>
        <v/>
      </c>
      <c r="J249" s="13">
        <f>(D249-E249)^2</f>
        <v/>
      </c>
      <c r="K249" s="14">
        <f>IF(ABS(G249)&lt;=1E-8,"",ABS((G249-H249)/G249))</f>
        <v/>
      </c>
    </row>
    <row r="250">
      <c r="A250" s="11" t="n">
        <v>45412</v>
      </c>
      <c r="B250" s="12" t="inlineStr">
        <is>
          <t>DE</t>
        </is>
      </c>
      <c r="C250" s="12" t="inlineStr">
        <is>
          <t>LightGBM</t>
        </is>
      </c>
      <c r="D250" s="13" t="n">
        <v>0.1</v>
      </c>
      <c r="E250" s="13" t="n">
        <v>0.0146345278599179</v>
      </c>
      <c r="F250" s="13" t="n">
        <v>3.3</v>
      </c>
      <c r="G250" s="13">
        <f>D250+F250</f>
        <v/>
      </c>
      <c r="H250" s="13">
        <f>E250+F250</f>
        <v/>
      </c>
      <c r="I250" s="13">
        <f>ABS(D250-E250)</f>
        <v/>
      </c>
      <c r="J250" s="13">
        <f>(D250-E250)^2</f>
        <v/>
      </c>
      <c r="K250" s="14">
        <f>IF(ABS(G250)&lt;=1E-8,"",ABS((G250-H250)/G250))</f>
        <v/>
      </c>
    </row>
    <row r="251">
      <c r="A251" s="11" t="n">
        <v>45412</v>
      </c>
      <c r="B251" s="12" t="inlineStr">
        <is>
          <t>FR</t>
        </is>
      </c>
      <c r="C251" s="12" t="inlineStr">
        <is>
          <t>LightGBM</t>
        </is>
      </c>
      <c r="D251" s="13" t="n">
        <v>0</v>
      </c>
      <c r="E251" s="13" t="n">
        <v>-0.0065453871248381</v>
      </c>
      <c r="F251" s="13" t="n">
        <v>7.4</v>
      </c>
      <c r="G251" s="13">
        <f>D251+F251</f>
        <v/>
      </c>
      <c r="H251" s="13">
        <f>E251+F251</f>
        <v/>
      </c>
      <c r="I251" s="13">
        <f>ABS(D251-E251)</f>
        <v/>
      </c>
      <c r="J251" s="13">
        <f>(D251-E251)^2</f>
        <v/>
      </c>
      <c r="K251" s="14">
        <f>IF(ABS(G251)&lt;=1E-8,"",ABS((G251-H251)/G251))</f>
        <v/>
      </c>
    </row>
    <row r="252">
      <c r="A252" s="11" t="n">
        <v>45412</v>
      </c>
      <c r="B252" s="12" t="inlineStr">
        <is>
          <t>GB</t>
        </is>
      </c>
      <c r="C252" s="12" t="inlineStr">
        <is>
          <t>LightGBM</t>
        </is>
      </c>
      <c r="D252" s="13" t="n">
        <v>0</v>
      </c>
      <c r="E252" s="13" t="n">
        <v>0.0035812208745435</v>
      </c>
      <c r="F252" s="13" t="n">
        <v>4.4</v>
      </c>
      <c r="G252" s="13">
        <f>D252+F252</f>
        <v/>
      </c>
      <c r="H252" s="13">
        <f>E252+F252</f>
        <v/>
      </c>
      <c r="I252" s="13">
        <f>ABS(D252-E252)</f>
        <v/>
      </c>
      <c r="J252" s="13">
        <f>(D252-E252)^2</f>
        <v/>
      </c>
      <c r="K252" s="14">
        <f>IF(ABS(G252)&lt;=1E-8,"",ABS((G252-H252)/G252))</f>
        <v/>
      </c>
    </row>
    <row r="253">
      <c r="A253" s="11" t="n">
        <v>45412</v>
      </c>
      <c r="B253" s="12" t="inlineStr">
        <is>
          <t>IT</t>
        </is>
      </c>
      <c r="C253" s="12" t="inlineStr">
        <is>
          <t>LightGBM</t>
        </is>
      </c>
      <c r="D253" s="13" t="n">
        <v>-0.1000000000000005</v>
      </c>
      <c r="E253" s="13" t="n">
        <v>-0.0160356103366206</v>
      </c>
      <c r="F253" s="13" t="n">
        <v>6.9</v>
      </c>
      <c r="G253" s="13">
        <f>D253+F253</f>
        <v/>
      </c>
      <c r="H253" s="13">
        <f>E253+F253</f>
        <v/>
      </c>
      <c r="I253" s="13">
        <f>ABS(D253-E253)</f>
        <v/>
      </c>
      <c r="J253" s="13">
        <f>(D253-E253)^2</f>
        <v/>
      </c>
      <c r="K253" s="14">
        <f>IF(ABS(G253)&lt;=1E-8,"",ABS((G253-H253)/G253))</f>
        <v/>
      </c>
    </row>
    <row r="254">
      <c r="A254" s="11" t="n">
        <v>45412</v>
      </c>
      <c r="B254" s="12" t="inlineStr">
        <is>
          <t>JP</t>
        </is>
      </c>
      <c r="C254" s="12" t="inlineStr">
        <is>
          <t>LightGBM</t>
        </is>
      </c>
      <c r="D254" s="13" t="n">
        <v>0</v>
      </c>
      <c r="E254" s="13" t="n">
        <v>0.0344644105558237</v>
      </c>
      <c r="F254" s="13" t="n">
        <v>2.6</v>
      </c>
      <c r="G254" s="13">
        <f>D254+F254</f>
        <v/>
      </c>
      <c r="H254" s="13">
        <f>E254+F254</f>
        <v/>
      </c>
      <c r="I254" s="13">
        <f>ABS(D254-E254)</f>
        <v/>
      </c>
      <c r="J254" s="13">
        <f>(D254-E254)^2</f>
        <v/>
      </c>
      <c r="K254" s="14">
        <f>IF(ABS(G254)&lt;=1E-8,"",ABS((G254-H254)/G254))</f>
        <v/>
      </c>
    </row>
    <row r="255">
      <c r="A255" s="11" t="n">
        <v>45412</v>
      </c>
      <c r="B255" s="12" t="inlineStr">
        <is>
          <t>KR</t>
        </is>
      </c>
      <c r="C255" s="12" t="inlineStr">
        <is>
          <t>LightGBM</t>
        </is>
      </c>
      <c r="D255" s="13" t="n">
        <v>0</v>
      </c>
      <c r="E255" s="13" t="n">
        <v>0.0345105901626696</v>
      </c>
      <c r="F255" s="13" t="n">
        <v>2.8</v>
      </c>
      <c r="G255" s="13">
        <f>D255+F255</f>
        <v/>
      </c>
      <c r="H255" s="13">
        <f>E255+F255</f>
        <v/>
      </c>
      <c r="I255" s="13">
        <f>ABS(D255-E255)</f>
        <v/>
      </c>
      <c r="J255" s="13">
        <f>(D255-E255)^2</f>
        <v/>
      </c>
      <c r="K255" s="14">
        <f>IF(ABS(G255)&lt;=1E-8,"",ABS((G255-H255)/G255))</f>
        <v/>
      </c>
    </row>
    <row r="256">
      <c r="A256" s="11" t="n">
        <v>45412</v>
      </c>
      <c r="B256" s="12" t="inlineStr">
        <is>
          <t>US</t>
        </is>
      </c>
      <c r="C256" s="12" t="inlineStr">
        <is>
          <t>LightGBM</t>
        </is>
      </c>
      <c r="D256" s="13" t="n">
        <v>0</v>
      </c>
      <c r="E256" s="13" t="n">
        <v>0.0020547435304133</v>
      </c>
      <c r="F256" s="13" t="n">
        <v>3.9</v>
      </c>
      <c r="G256" s="13">
        <f>D256+F256</f>
        <v/>
      </c>
      <c r="H256" s="13">
        <f>E256+F256</f>
        <v/>
      </c>
      <c r="I256" s="13">
        <f>ABS(D256-E256)</f>
        <v/>
      </c>
      <c r="J256" s="13">
        <f>(D256-E256)^2</f>
        <v/>
      </c>
      <c r="K256" s="14">
        <f>IF(ABS(G256)&lt;=1E-8,"",ABS((G256-H256)/G256))</f>
        <v/>
      </c>
    </row>
    <row r="257">
      <c r="A257" s="11" t="n">
        <v>45443</v>
      </c>
      <c r="B257" s="12" t="inlineStr">
        <is>
          <t>AU</t>
        </is>
      </c>
      <c r="C257" s="12" t="inlineStr">
        <is>
          <t>LightGBM</t>
        </is>
      </c>
      <c r="D257" s="13" t="n">
        <v>-0.07635600000000051</v>
      </c>
      <c r="E257" s="13" t="n">
        <v>0.0228287306270183</v>
      </c>
      <c r="F257" s="13" t="n">
        <v>4.081468</v>
      </c>
      <c r="G257" s="13">
        <f>D257+F257</f>
        <v/>
      </c>
      <c r="H257" s="13">
        <f>E257+F257</f>
        <v/>
      </c>
      <c r="I257" s="13">
        <f>ABS(D257-E257)</f>
        <v/>
      </c>
      <c r="J257" s="13">
        <f>(D257-E257)^2</f>
        <v/>
      </c>
      <c r="K257" s="14">
        <f>IF(ABS(G257)&lt;=1E-8,"",ABS((G257-H257)/G257))</f>
        <v/>
      </c>
    </row>
    <row r="258">
      <c r="A258" s="11" t="n">
        <v>45443</v>
      </c>
      <c r="B258" s="12" t="inlineStr">
        <is>
          <t>CA</t>
        </is>
      </c>
      <c r="C258" s="12" t="inlineStr">
        <is>
          <t>LightGBM</t>
        </is>
      </c>
      <c r="D258" s="13" t="n">
        <v>0.0999999999999996</v>
      </c>
      <c r="E258" s="13" t="n">
        <v>-0.0165508964448748</v>
      </c>
      <c r="F258" s="13" t="n">
        <v>6.2</v>
      </c>
      <c r="G258" s="13">
        <f>D258+F258</f>
        <v/>
      </c>
      <c r="H258" s="13">
        <f>E258+F258</f>
        <v/>
      </c>
      <c r="I258" s="13">
        <f>ABS(D258-E258)</f>
        <v/>
      </c>
      <c r="J258" s="13">
        <f>(D258-E258)^2</f>
        <v/>
      </c>
      <c r="K258" s="14">
        <f>IF(ABS(G258)&lt;=1E-8,"",ABS((G258-H258)/G258))</f>
        <v/>
      </c>
    </row>
    <row r="259">
      <c r="A259" s="11" t="n">
        <v>45443</v>
      </c>
      <c r="B259" s="12" t="inlineStr">
        <is>
          <t>DE</t>
        </is>
      </c>
      <c r="C259" s="12" t="inlineStr">
        <is>
          <t>LightGBM</t>
        </is>
      </c>
      <c r="D259" s="13" t="n">
        <v>0</v>
      </c>
      <c r="E259" s="13" t="n">
        <v>0.0242876183961373</v>
      </c>
      <c r="F259" s="13" t="n">
        <v>3.4</v>
      </c>
      <c r="G259" s="13">
        <f>D259+F259</f>
        <v/>
      </c>
      <c r="H259" s="13">
        <f>E259+F259</f>
        <v/>
      </c>
      <c r="I259" s="13">
        <f>ABS(D259-E259)</f>
        <v/>
      </c>
      <c r="J259" s="13">
        <f>(D259-E259)^2</f>
        <v/>
      </c>
      <c r="K259" s="14">
        <f>IF(ABS(G259)&lt;=1E-8,"",ABS((G259-H259)/G259))</f>
        <v/>
      </c>
    </row>
    <row r="260">
      <c r="A260" s="11" t="n">
        <v>45443</v>
      </c>
      <c r="B260" s="12" t="inlineStr">
        <is>
          <t>FR</t>
        </is>
      </c>
      <c r="C260" s="12" t="inlineStr">
        <is>
          <t>LightGBM</t>
        </is>
      </c>
      <c r="D260" s="13" t="n">
        <v>0</v>
      </c>
      <c r="E260" s="13" t="n">
        <v>-0.00449006882253</v>
      </c>
      <c r="F260" s="13" t="n">
        <v>7.4</v>
      </c>
      <c r="G260" s="13">
        <f>D260+F260</f>
        <v/>
      </c>
      <c r="H260" s="13">
        <f>E260+F260</f>
        <v/>
      </c>
      <c r="I260" s="13">
        <f>ABS(D260-E260)</f>
        <v/>
      </c>
      <c r="J260" s="13">
        <f>(D260-E260)^2</f>
        <v/>
      </c>
      <c r="K260" s="14">
        <f>IF(ABS(G260)&lt;=1E-8,"",ABS((G260-H260)/G260))</f>
        <v/>
      </c>
    </row>
    <row r="261">
      <c r="A261" s="11" t="n">
        <v>45443</v>
      </c>
      <c r="B261" s="12" t="inlineStr">
        <is>
          <t>GB</t>
        </is>
      </c>
      <c r="C261" s="12" t="inlineStr">
        <is>
          <t>LightGBM</t>
        </is>
      </c>
      <c r="D261" s="13" t="n">
        <v>-0.2000000000000001</v>
      </c>
      <c r="E261" s="13" t="n">
        <v>0.014491158100764</v>
      </c>
      <c r="F261" s="13" t="n">
        <v>4.4</v>
      </c>
      <c r="G261" s="13">
        <f>D261+F261</f>
        <v/>
      </c>
      <c r="H261" s="13">
        <f>E261+F261</f>
        <v/>
      </c>
      <c r="I261" s="13">
        <f>ABS(D261-E261)</f>
        <v/>
      </c>
      <c r="J261" s="13">
        <f>(D261-E261)^2</f>
        <v/>
      </c>
      <c r="K261" s="14">
        <f>IF(ABS(G261)&lt;=1E-8,"",ABS((G261-H261)/G261))</f>
        <v/>
      </c>
    </row>
    <row r="262">
      <c r="A262" s="11" t="n">
        <v>45443</v>
      </c>
      <c r="B262" s="12" t="inlineStr">
        <is>
          <t>IT</t>
        </is>
      </c>
      <c r="C262" s="12" t="inlineStr">
        <is>
          <t>LightGBM</t>
        </is>
      </c>
      <c r="D262" s="13" t="n">
        <v>-0.2999999999999998</v>
      </c>
      <c r="E262" s="13" t="n">
        <v>-0.0098595667586443</v>
      </c>
      <c r="F262" s="13" t="n">
        <v>6.8</v>
      </c>
      <c r="G262" s="13">
        <f>D262+F262</f>
        <v/>
      </c>
      <c r="H262" s="13">
        <f>E262+F262</f>
        <v/>
      </c>
      <c r="I262" s="13">
        <f>ABS(D262-E262)</f>
        <v/>
      </c>
      <c r="J262" s="13">
        <f>(D262-E262)^2</f>
        <v/>
      </c>
      <c r="K262" s="14">
        <f>IF(ABS(G262)&lt;=1E-8,"",ABS((G262-H262)/G262))</f>
        <v/>
      </c>
    </row>
    <row r="263">
      <c r="A263" s="11" t="n">
        <v>45443</v>
      </c>
      <c r="B263" s="12" t="inlineStr">
        <is>
          <t>JP</t>
        </is>
      </c>
      <c r="C263" s="12" t="inlineStr">
        <is>
          <t>LightGBM</t>
        </is>
      </c>
      <c r="D263" s="13" t="n">
        <v>0</v>
      </c>
      <c r="E263" s="13" t="n">
        <v>-0.0161026450842345</v>
      </c>
      <c r="F263" s="13" t="n">
        <v>2.6</v>
      </c>
      <c r="G263" s="13">
        <f>D263+F263</f>
        <v/>
      </c>
      <c r="H263" s="13">
        <f>E263+F263</f>
        <v/>
      </c>
      <c r="I263" s="13">
        <f>ABS(D263-E263)</f>
        <v/>
      </c>
      <c r="J263" s="13">
        <f>(D263-E263)^2</f>
        <v/>
      </c>
      <c r="K263" s="14">
        <f>IF(ABS(G263)&lt;=1E-8,"",ABS((G263-H263)/G263))</f>
        <v/>
      </c>
    </row>
    <row r="264">
      <c r="A264" s="11" t="n">
        <v>45443</v>
      </c>
      <c r="B264" s="12" t="inlineStr">
        <is>
          <t>KR</t>
        </is>
      </c>
      <c r="C264" s="12" t="inlineStr">
        <is>
          <t>LightGBM</t>
        </is>
      </c>
      <c r="D264" s="13" t="n">
        <v>0</v>
      </c>
      <c r="E264" s="13" t="n">
        <v>0.034265735459196</v>
      </c>
      <c r="F264" s="13" t="n">
        <v>2.8</v>
      </c>
      <c r="G264" s="13">
        <f>D264+F264</f>
        <v/>
      </c>
      <c r="H264" s="13">
        <f>E264+F264</f>
        <v/>
      </c>
      <c r="I264" s="13">
        <f>ABS(D264-E264)</f>
        <v/>
      </c>
      <c r="J264" s="13">
        <f>(D264-E264)^2</f>
        <v/>
      </c>
      <c r="K264" s="14">
        <f>IF(ABS(G264)&lt;=1E-8,"",ABS((G264-H264)/G264))</f>
        <v/>
      </c>
    </row>
    <row r="265">
      <c r="A265" s="11" t="n">
        <v>45443</v>
      </c>
      <c r="B265" s="12" t="inlineStr">
        <is>
          <t>US</t>
        </is>
      </c>
      <c r="C265" s="12" t="inlineStr">
        <is>
          <t>LightGBM</t>
        </is>
      </c>
      <c r="D265" s="13" t="n">
        <v>0</v>
      </c>
      <c r="E265" s="13" t="n">
        <v>-0.0159054337095074</v>
      </c>
      <c r="F265" s="13" t="n">
        <v>3.9</v>
      </c>
      <c r="G265" s="13">
        <f>D265+F265</f>
        <v/>
      </c>
      <c r="H265" s="13">
        <f>E265+F265</f>
        <v/>
      </c>
      <c r="I265" s="13">
        <f>ABS(D265-E265)</f>
        <v/>
      </c>
      <c r="J265" s="13">
        <f>(D265-E265)^2</f>
        <v/>
      </c>
      <c r="K265" s="14">
        <f>IF(ABS(G265)&lt;=1E-8,"",ABS((G265-H265)/G265))</f>
        <v/>
      </c>
    </row>
    <row r="266">
      <c r="A266" s="11" t="n">
        <v>45473</v>
      </c>
      <c r="B266" s="12" t="inlineStr">
        <is>
          <t>AU</t>
        </is>
      </c>
      <c r="C266" s="12" t="inlineStr">
        <is>
          <t>LightGBM</t>
        </is>
      </c>
      <c r="D266" s="13" t="n">
        <v>0.0282750000000007</v>
      </c>
      <c r="E266" s="13" t="n">
        <v>-0.0008270157140091</v>
      </c>
      <c r="F266" s="13" t="n">
        <v>4.005112</v>
      </c>
      <c r="G266" s="13">
        <f>D266+F266</f>
        <v/>
      </c>
      <c r="H266" s="13">
        <f>E266+F266</f>
        <v/>
      </c>
      <c r="I266" s="13">
        <f>ABS(D266-E266)</f>
        <v/>
      </c>
      <c r="J266" s="13">
        <f>(D266-E266)^2</f>
        <v/>
      </c>
      <c r="K266" s="14">
        <f>IF(ABS(G266)&lt;=1E-8,"",ABS((G266-H266)/G266))</f>
        <v/>
      </c>
    </row>
    <row r="267">
      <c r="A267" s="11" t="n">
        <v>45473</v>
      </c>
      <c r="B267" s="12" t="inlineStr">
        <is>
          <t>CA</t>
        </is>
      </c>
      <c r="C267" s="12" t="inlineStr">
        <is>
          <t>LightGBM</t>
        </is>
      </c>
      <c r="D267" s="13" t="n">
        <v>0.1000000000000005</v>
      </c>
      <c r="E267" s="13" t="n">
        <v>-0.0365741492084303</v>
      </c>
      <c r="F267" s="13" t="n">
        <v>6.3</v>
      </c>
      <c r="G267" s="13">
        <f>D267+F267</f>
        <v/>
      </c>
      <c r="H267" s="13">
        <f>E267+F267</f>
        <v/>
      </c>
      <c r="I267" s="13">
        <f>ABS(D267-E267)</f>
        <v/>
      </c>
      <c r="J267" s="13">
        <f>(D267-E267)^2</f>
        <v/>
      </c>
      <c r="K267" s="14">
        <f>IF(ABS(G267)&lt;=1E-8,"",ABS((G267-H267)/G267))</f>
        <v/>
      </c>
    </row>
    <row r="268">
      <c r="A268" s="11" t="n">
        <v>45473</v>
      </c>
      <c r="B268" s="12" t="inlineStr">
        <is>
          <t>DE</t>
        </is>
      </c>
      <c r="C268" s="12" t="inlineStr">
        <is>
          <t>LightGBM</t>
        </is>
      </c>
      <c r="D268" s="13" t="n">
        <v>0</v>
      </c>
      <c r="E268" s="13" t="n">
        <v>0.0253933456038562</v>
      </c>
      <c r="F268" s="13" t="n">
        <v>3.4</v>
      </c>
      <c r="G268" s="13">
        <f>D268+F268</f>
        <v/>
      </c>
      <c r="H268" s="13">
        <f>E268+F268</f>
        <v/>
      </c>
      <c r="I268" s="13">
        <f>ABS(D268-E268)</f>
        <v/>
      </c>
      <c r="J268" s="13">
        <f>(D268-E268)^2</f>
        <v/>
      </c>
      <c r="K268" s="14">
        <f>IF(ABS(G268)&lt;=1E-8,"",ABS((G268-H268)/G268))</f>
        <v/>
      </c>
    </row>
    <row r="269">
      <c r="A269" s="11" t="n">
        <v>45473</v>
      </c>
      <c r="B269" s="12" t="inlineStr">
        <is>
          <t>FR</t>
        </is>
      </c>
      <c r="C269" s="12" t="inlineStr">
        <is>
          <t>LightGBM</t>
        </is>
      </c>
      <c r="D269" s="13" t="n">
        <v>0.0999999999999996</v>
      </c>
      <c r="E269" s="13" t="n">
        <v>-0.0196285726311878</v>
      </c>
      <c r="F269" s="13" t="n">
        <v>7.4</v>
      </c>
      <c r="G269" s="13">
        <f>D269+F269</f>
        <v/>
      </c>
      <c r="H269" s="13">
        <f>E269+F269</f>
        <v/>
      </c>
      <c r="I269" s="13">
        <f>ABS(D269-E269)</f>
        <v/>
      </c>
      <c r="J269" s="13">
        <f>(D269-E269)^2</f>
        <v/>
      </c>
      <c r="K269" s="14">
        <f>IF(ABS(G269)&lt;=1E-8,"",ABS((G269-H269)/G269))</f>
        <v/>
      </c>
    </row>
    <row r="270">
      <c r="A270" s="11" t="n">
        <v>45473</v>
      </c>
      <c r="B270" s="12" t="inlineStr">
        <is>
          <t>GB</t>
        </is>
      </c>
      <c r="C270" s="12" t="inlineStr">
        <is>
          <t>LightGBM</t>
        </is>
      </c>
      <c r="D270" s="13" t="n">
        <v>0</v>
      </c>
      <c r="E270" s="13" t="n">
        <v>0.0034778430255125</v>
      </c>
      <c r="F270" s="13" t="n">
        <v>4.2</v>
      </c>
      <c r="G270" s="13">
        <f>D270+F270</f>
        <v/>
      </c>
      <c r="H270" s="13">
        <f>E270+F270</f>
        <v/>
      </c>
      <c r="I270" s="13">
        <f>ABS(D270-E270)</f>
        <v/>
      </c>
      <c r="J270" s="13">
        <f>(D270-E270)^2</f>
        <v/>
      </c>
      <c r="K270" s="14">
        <f>IF(ABS(G270)&lt;=1E-8,"",ABS((G270-H270)/G270))</f>
        <v/>
      </c>
    </row>
    <row r="271">
      <c r="A271" s="11" t="n">
        <v>45473</v>
      </c>
      <c r="B271" s="12" t="inlineStr">
        <is>
          <t>IT</t>
        </is>
      </c>
      <c r="C271" s="12" t="inlineStr">
        <is>
          <t>LightGBM</t>
        </is>
      </c>
      <c r="D271" s="13" t="n">
        <v>0.2000000000000001</v>
      </c>
      <c r="E271" s="13" t="n">
        <v>-0.0327291666654663</v>
      </c>
      <c r="F271" s="13" t="n">
        <v>6.5</v>
      </c>
      <c r="G271" s="13">
        <f>D271+F271</f>
        <v/>
      </c>
      <c r="H271" s="13">
        <f>E271+F271</f>
        <v/>
      </c>
      <c r="I271" s="13">
        <f>ABS(D271-E271)</f>
        <v/>
      </c>
      <c r="J271" s="13">
        <f>(D271-E271)^2</f>
        <v/>
      </c>
      <c r="K271" s="14">
        <f>IF(ABS(G271)&lt;=1E-8,"",ABS((G271-H271)/G271))</f>
        <v/>
      </c>
    </row>
    <row r="272">
      <c r="A272" s="11" t="n">
        <v>45473</v>
      </c>
      <c r="B272" s="12" t="inlineStr">
        <is>
          <t>JP</t>
        </is>
      </c>
      <c r="C272" s="12" t="inlineStr">
        <is>
          <t>LightGBM</t>
        </is>
      </c>
      <c r="D272" s="13" t="n">
        <v>-0.1</v>
      </c>
      <c r="E272" s="13" t="n">
        <v>0.0075926262398894</v>
      </c>
      <c r="F272" s="13" t="n">
        <v>2.6</v>
      </c>
      <c r="G272" s="13">
        <f>D272+F272</f>
        <v/>
      </c>
      <c r="H272" s="13">
        <f>E272+F272</f>
        <v/>
      </c>
      <c r="I272" s="13">
        <f>ABS(D272-E272)</f>
        <v/>
      </c>
      <c r="J272" s="13">
        <f>(D272-E272)^2</f>
        <v/>
      </c>
      <c r="K272" s="14">
        <f>IF(ABS(G272)&lt;=1E-8,"",ABS((G272-H272)/G272))</f>
        <v/>
      </c>
    </row>
    <row r="273">
      <c r="A273" s="11" t="n">
        <v>45473</v>
      </c>
      <c r="B273" s="12" t="inlineStr">
        <is>
          <t>KR</t>
        </is>
      </c>
      <c r="C273" s="12" t="inlineStr">
        <is>
          <t>LightGBM</t>
        </is>
      </c>
      <c r="D273" s="13" t="n">
        <v>0</v>
      </c>
      <c r="E273" s="13" t="n">
        <v>-0.030026077194942</v>
      </c>
      <c r="F273" s="13" t="n">
        <v>2.8</v>
      </c>
      <c r="G273" s="13">
        <f>D273+F273</f>
        <v/>
      </c>
      <c r="H273" s="13">
        <f>E273+F273</f>
        <v/>
      </c>
      <c r="I273" s="13">
        <f>ABS(D273-E273)</f>
        <v/>
      </c>
      <c r="J273" s="13">
        <f>(D273-E273)^2</f>
        <v/>
      </c>
      <c r="K273" s="14">
        <f>IF(ABS(G273)&lt;=1E-8,"",ABS((G273-H273)/G273))</f>
        <v/>
      </c>
    </row>
    <row r="274">
      <c r="A274" s="11" t="n">
        <v>45473</v>
      </c>
      <c r="B274" s="12" t="inlineStr">
        <is>
          <t>US</t>
        </is>
      </c>
      <c r="C274" s="12" t="inlineStr">
        <is>
          <t>LightGBM</t>
        </is>
      </c>
      <c r="D274" s="13" t="n">
        <v>0.1999999999999997</v>
      </c>
      <c r="E274" s="13" t="n">
        <v>-0.0327564067561052</v>
      </c>
      <c r="F274" s="13" t="n">
        <v>3.9</v>
      </c>
      <c r="G274" s="13">
        <f>D274+F274</f>
        <v/>
      </c>
      <c r="H274" s="13">
        <f>E274+F274</f>
        <v/>
      </c>
      <c r="I274" s="13">
        <f>ABS(D274-E274)</f>
        <v/>
      </c>
      <c r="J274" s="13">
        <f>(D274-E274)^2</f>
        <v/>
      </c>
      <c r="K274" s="14">
        <f>IF(ABS(G274)&lt;=1E-8,"",ABS((G274-H274)/G274))</f>
        <v/>
      </c>
    </row>
    <row r="275">
      <c r="A275" s="11" t="n">
        <v>45504</v>
      </c>
      <c r="B275" s="12" t="inlineStr">
        <is>
          <t>AU</t>
        </is>
      </c>
      <c r="C275" s="12" t="inlineStr">
        <is>
          <t>LightGBM</t>
        </is>
      </c>
      <c r="D275" s="13" t="n">
        <v>0.1585450000000001</v>
      </c>
      <c r="E275" s="13" t="n">
        <v>-0.004806662237852</v>
      </c>
      <c r="F275" s="13" t="n">
        <v>4.033387</v>
      </c>
      <c r="G275" s="13">
        <f>D275+F275</f>
        <v/>
      </c>
      <c r="H275" s="13">
        <f>E275+F275</f>
        <v/>
      </c>
      <c r="I275" s="13">
        <f>ABS(D275-E275)</f>
        <v/>
      </c>
      <c r="J275" s="13">
        <f>(D275-E275)^2</f>
        <v/>
      </c>
      <c r="K275" s="14">
        <f>IF(ABS(G275)&lt;=1E-8,"",ABS((G275-H275)/G275))</f>
        <v/>
      </c>
    </row>
    <row r="276">
      <c r="A276" s="11" t="n">
        <v>45504</v>
      </c>
      <c r="B276" s="12" t="inlineStr">
        <is>
          <t>CA</t>
        </is>
      </c>
      <c r="C276" s="12" t="inlineStr">
        <is>
          <t>LightGBM</t>
        </is>
      </c>
      <c r="D276" s="13" t="n">
        <v>0</v>
      </c>
      <c r="E276" s="13" t="n">
        <v>-0.00339139122892</v>
      </c>
      <c r="F276" s="13" t="n">
        <v>6.4</v>
      </c>
      <c r="G276" s="13">
        <f>D276+F276</f>
        <v/>
      </c>
      <c r="H276" s="13">
        <f>E276+F276</f>
        <v/>
      </c>
      <c r="I276" s="13">
        <f>ABS(D276-E276)</f>
        <v/>
      </c>
      <c r="J276" s="13">
        <f>(D276-E276)^2</f>
        <v/>
      </c>
      <c r="K276" s="14">
        <f>IF(ABS(G276)&lt;=1E-8,"",ABS((G276-H276)/G276))</f>
        <v/>
      </c>
    </row>
    <row r="277">
      <c r="A277" s="11" t="n">
        <v>45504</v>
      </c>
      <c r="B277" s="12" t="inlineStr">
        <is>
          <t>DE</t>
        </is>
      </c>
      <c r="C277" s="12" t="inlineStr">
        <is>
          <t>LightGBM</t>
        </is>
      </c>
      <c r="D277" s="13" t="n">
        <v>0</v>
      </c>
      <c r="E277" s="13" t="n">
        <v>0.0107197190993713</v>
      </c>
      <c r="F277" s="13" t="n">
        <v>3.4</v>
      </c>
      <c r="G277" s="13">
        <f>D277+F277</f>
        <v/>
      </c>
      <c r="H277" s="13">
        <f>E277+F277</f>
        <v/>
      </c>
      <c r="I277" s="13">
        <f>ABS(D277-E277)</f>
        <v/>
      </c>
      <c r="J277" s="13">
        <f>(D277-E277)^2</f>
        <v/>
      </c>
      <c r="K277" s="14">
        <f>IF(ABS(G277)&lt;=1E-8,"",ABS((G277-H277)/G277))</f>
        <v/>
      </c>
    </row>
    <row r="278">
      <c r="A278" s="11" t="n">
        <v>45504</v>
      </c>
      <c r="B278" s="12" t="inlineStr">
        <is>
          <t>FR</t>
        </is>
      </c>
      <c r="C278" s="12" t="inlineStr">
        <is>
          <t>LightGBM</t>
        </is>
      </c>
      <c r="D278" s="13" t="n">
        <v>0</v>
      </c>
      <c r="E278" s="13" t="n">
        <v>-0.0424344475823808</v>
      </c>
      <c r="F278" s="13" t="n">
        <v>7.5</v>
      </c>
      <c r="G278" s="13">
        <f>D278+F278</f>
        <v/>
      </c>
      <c r="H278" s="13">
        <f>E278+F278</f>
        <v/>
      </c>
      <c r="I278" s="13">
        <f>ABS(D278-E278)</f>
        <v/>
      </c>
      <c r="J278" s="13">
        <f>(D278-E278)^2</f>
        <v/>
      </c>
      <c r="K278" s="14">
        <f>IF(ABS(G278)&lt;=1E-8,"",ABS((G278-H278)/G278))</f>
        <v/>
      </c>
    </row>
    <row r="279">
      <c r="A279" s="11" t="n">
        <v>45504</v>
      </c>
      <c r="B279" s="12" t="inlineStr">
        <is>
          <t>GB</t>
        </is>
      </c>
      <c r="C279" s="12" t="inlineStr">
        <is>
          <t>LightGBM</t>
        </is>
      </c>
      <c r="D279" s="13" t="n">
        <v>-0.1000000000000005</v>
      </c>
      <c r="E279" s="13" t="n">
        <v>-0.0012957814530252</v>
      </c>
      <c r="F279" s="13" t="n">
        <v>4.2</v>
      </c>
      <c r="G279" s="13">
        <f>D279+F279</f>
        <v/>
      </c>
      <c r="H279" s="13">
        <f>E279+F279</f>
        <v/>
      </c>
      <c r="I279" s="13">
        <f>ABS(D279-E279)</f>
        <v/>
      </c>
      <c r="J279" s="13">
        <f>(D279-E279)^2</f>
        <v/>
      </c>
      <c r="K279" s="14">
        <f>IF(ABS(G279)&lt;=1E-8,"",ABS((G279-H279)/G279))</f>
        <v/>
      </c>
    </row>
    <row r="280">
      <c r="A280" s="11" t="n">
        <v>45504</v>
      </c>
      <c r="B280" s="12" t="inlineStr">
        <is>
          <t>IT</t>
        </is>
      </c>
      <c r="C280" s="12" t="inlineStr">
        <is>
          <t>LightGBM</t>
        </is>
      </c>
      <c r="D280" s="13" t="n">
        <v>-0.2999999999999998</v>
      </c>
      <c r="E280" s="13" t="n">
        <v>-0.021212903315567</v>
      </c>
      <c r="F280" s="13" t="n">
        <v>6.7</v>
      </c>
      <c r="G280" s="13">
        <f>D280+F280</f>
        <v/>
      </c>
      <c r="H280" s="13">
        <f>E280+F280</f>
        <v/>
      </c>
      <c r="I280" s="13">
        <f>ABS(D280-E280)</f>
        <v/>
      </c>
      <c r="J280" s="13">
        <f>(D280-E280)^2</f>
        <v/>
      </c>
      <c r="K280" s="14">
        <f>IF(ABS(G280)&lt;=1E-8,"",ABS((G280-H280)/G280))</f>
        <v/>
      </c>
    </row>
    <row r="281">
      <c r="A281" s="11" t="n">
        <v>45504</v>
      </c>
      <c r="B281" s="12" t="inlineStr">
        <is>
          <t>JP</t>
        </is>
      </c>
      <c r="C281" s="12" t="inlineStr">
        <is>
          <t>LightGBM</t>
        </is>
      </c>
      <c r="D281" s="13" t="n">
        <v>0.2000000000000001</v>
      </c>
      <c r="E281" s="13" t="n">
        <v>-0.0066142066448801</v>
      </c>
      <c r="F281" s="13" t="n">
        <v>2.5</v>
      </c>
      <c r="G281" s="13">
        <f>D281+F281</f>
        <v/>
      </c>
      <c r="H281" s="13">
        <f>E281+F281</f>
        <v/>
      </c>
      <c r="I281" s="13">
        <f>ABS(D281-E281)</f>
        <v/>
      </c>
      <c r="J281" s="13">
        <f>(D281-E281)^2</f>
        <v/>
      </c>
      <c r="K281" s="14">
        <f>IF(ABS(G281)&lt;=1E-8,"",ABS((G281-H281)/G281))</f>
        <v/>
      </c>
    </row>
    <row r="282">
      <c r="A282" s="11" t="n">
        <v>45504</v>
      </c>
      <c r="B282" s="12" t="inlineStr">
        <is>
          <t>KR</t>
        </is>
      </c>
      <c r="C282" s="12" t="inlineStr">
        <is>
          <t>LightGBM</t>
        </is>
      </c>
      <c r="D282" s="13" t="n">
        <v>-0.0999999999999996</v>
      </c>
      <c r="E282" s="13" t="n">
        <v>0.0051898893150999</v>
      </c>
      <c r="F282" s="13" t="n">
        <v>2.8</v>
      </c>
      <c r="G282" s="13">
        <f>D282+F282</f>
        <v/>
      </c>
      <c r="H282" s="13">
        <f>E282+F282</f>
        <v/>
      </c>
      <c r="I282" s="13">
        <f>ABS(D282-E282)</f>
        <v/>
      </c>
      <c r="J282" s="13">
        <f>(D282-E282)^2</f>
        <v/>
      </c>
      <c r="K282" s="14">
        <f>IF(ABS(G282)&lt;=1E-8,"",ABS((G282-H282)/G282))</f>
        <v/>
      </c>
    </row>
    <row r="283">
      <c r="A283" s="11" t="n">
        <v>45504</v>
      </c>
      <c r="B283" s="12" t="inlineStr">
        <is>
          <t>US</t>
        </is>
      </c>
      <c r="C283" s="12" t="inlineStr">
        <is>
          <t>LightGBM</t>
        </is>
      </c>
      <c r="D283" s="13" t="n">
        <v>0.1000000000000005</v>
      </c>
      <c r="E283" s="13" t="n">
        <v>-0.0212476468014321</v>
      </c>
      <c r="F283" s="13" t="n">
        <v>4.1</v>
      </c>
      <c r="G283" s="13">
        <f>D283+F283</f>
        <v/>
      </c>
      <c r="H283" s="13">
        <f>E283+F283</f>
        <v/>
      </c>
      <c r="I283" s="13">
        <f>ABS(D283-E283)</f>
        <v/>
      </c>
      <c r="J283" s="13">
        <f>(D283-E283)^2</f>
        <v/>
      </c>
      <c r="K283" s="14">
        <f>IF(ABS(G283)&lt;=1E-8,"",ABS((G283-H283)/G283))</f>
        <v/>
      </c>
    </row>
    <row r="284">
      <c r="A284" s="11" t="n">
        <v>45535</v>
      </c>
      <c r="B284" s="12" t="inlineStr">
        <is>
          <t>AU</t>
        </is>
      </c>
      <c r="C284" s="12" t="inlineStr">
        <is>
          <t>LightGBM</t>
        </is>
      </c>
      <c r="D284" s="13" t="n">
        <v>-0.0666090000000005</v>
      </c>
      <c r="E284" s="13" t="n">
        <v>0.0070221080432441</v>
      </c>
      <c r="F284" s="13" t="n">
        <v>4.191932</v>
      </c>
      <c r="G284" s="13">
        <f>D284+F284</f>
        <v/>
      </c>
      <c r="H284" s="13">
        <f>E284+F284</f>
        <v/>
      </c>
      <c r="I284" s="13">
        <f>ABS(D284-E284)</f>
        <v/>
      </c>
      <c r="J284" s="13">
        <f>(D284-E284)^2</f>
        <v/>
      </c>
      <c r="K284" s="14">
        <f>IF(ABS(G284)&lt;=1E-8,"",ABS((G284-H284)/G284))</f>
        <v/>
      </c>
    </row>
    <row r="285">
      <c r="A285" s="11" t="n">
        <v>45535</v>
      </c>
      <c r="B285" s="12" t="inlineStr">
        <is>
          <t>CA</t>
        </is>
      </c>
      <c r="C285" s="12" t="inlineStr">
        <is>
          <t>LightGBM</t>
        </is>
      </c>
      <c r="D285" s="13" t="n">
        <v>0.1999999999999993</v>
      </c>
      <c r="E285" s="13" t="n">
        <v>-0.0327975572377105</v>
      </c>
      <c r="F285" s="13" t="n">
        <v>6.4</v>
      </c>
      <c r="G285" s="13">
        <f>D285+F285</f>
        <v/>
      </c>
      <c r="H285" s="13">
        <f>E285+F285</f>
        <v/>
      </c>
      <c r="I285" s="13">
        <f>ABS(D285-E285)</f>
        <v/>
      </c>
      <c r="J285" s="13">
        <f>(D285-E285)^2</f>
        <v/>
      </c>
      <c r="K285" s="14">
        <f>IF(ABS(G285)&lt;=1E-8,"",ABS((G285-H285)/G285))</f>
        <v/>
      </c>
    </row>
    <row r="286">
      <c r="A286" s="11" t="n">
        <v>45535</v>
      </c>
      <c r="B286" s="12" t="inlineStr">
        <is>
          <t>DE</t>
        </is>
      </c>
      <c r="C286" s="12" t="inlineStr">
        <is>
          <t>LightGBM</t>
        </is>
      </c>
      <c r="D286" s="13" t="n">
        <v>0</v>
      </c>
      <c r="E286" s="13" t="n">
        <v>0.0012422278561394</v>
      </c>
      <c r="F286" s="13" t="n">
        <v>3.4</v>
      </c>
      <c r="G286" s="13">
        <f>D286+F286</f>
        <v/>
      </c>
      <c r="H286" s="13">
        <f>E286+F286</f>
        <v/>
      </c>
      <c r="I286" s="13">
        <f>ABS(D286-E286)</f>
        <v/>
      </c>
      <c r="J286" s="13">
        <f>(D286-E286)^2</f>
        <v/>
      </c>
      <c r="K286" s="14">
        <f>IF(ABS(G286)&lt;=1E-8,"",ABS((G286-H286)/G286))</f>
        <v/>
      </c>
    </row>
    <row r="287">
      <c r="A287" s="11" t="n">
        <v>45535</v>
      </c>
      <c r="B287" s="12" t="inlineStr">
        <is>
          <t>FR</t>
        </is>
      </c>
      <c r="C287" s="12" t="inlineStr">
        <is>
          <t>LightGBM</t>
        </is>
      </c>
      <c r="D287" s="13" t="n">
        <v>0</v>
      </c>
      <c r="E287" s="13" t="n">
        <v>-0.0330025145774738</v>
      </c>
      <c r="F287" s="13" t="n">
        <v>7.5</v>
      </c>
      <c r="G287" s="13">
        <f>D287+F287</f>
        <v/>
      </c>
      <c r="H287" s="13">
        <f>E287+F287</f>
        <v/>
      </c>
      <c r="I287" s="13">
        <f>ABS(D287-E287)</f>
        <v/>
      </c>
      <c r="J287" s="13">
        <f>(D287-E287)^2</f>
        <v/>
      </c>
      <c r="K287" s="14">
        <f>IF(ABS(G287)&lt;=1E-8,"",ABS((G287-H287)/G287))</f>
        <v/>
      </c>
    </row>
    <row r="288">
      <c r="A288" s="11" t="n">
        <v>45535</v>
      </c>
      <c r="B288" s="12" t="inlineStr">
        <is>
          <t>GB</t>
        </is>
      </c>
      <c r="C288" s="12" t="inlineStr">
        <is>
          <t>LightGBM</t>
        </is>
      </c>
      <c r="D288" s="13" t="n">
        <v>0.2000000000000001</v>
      </c>
      <c r="E288" s="13" t="n">
        <v>-0.0005640561513657</v>
      </c>
      <c r="F288" s="13" t="n">
        <v>4.1</v>
      </c>
      <c r="G288" s="13">
        <f>D288+F288</f>
        <v/>
      </c>
      <c r="H288" s="13">
        <f>E288+F288</f>
        <v/>
      </c>
      <c r="I288" s="13">
        <f>ABS(D288-E288)</f>
        <v/>
      </c>
      <c r="J288" s="13">
        <f>(D288-E288)^2</f>
        <v/>
      </c>
      <c r="K288" s="14">
        <f>IF(ABS(G288)&lt;=1E-8,"",ABS((G288-H288)/G288))</f>
        <v/>
      </c>
    </row>
    <row r="289">
      <c r="A289" s="11" t="n">
        <v>45535</v>
      </c>
      <c r="B289" s="12" t="inlineStr">
        <is>
          <t>IT</t>
        </is>
      </c>
      <c r="C289" s="12" t="inlineStr">
        <is>
          <t>LightGBM</t>
        </is>
      </c>
      <c r="D289" s="13" t="n">
        <v>0</v>
      </c>
      <c r="E289" s="13" t="n">
        <v>-0.0541433661193133</v>
      </c>
      <c r="F289" s="13" t="n">
        <v>6.4</v>
      </c>
      <c r="G289" s="13">
        <f>D289+F289</f>
        <v/>
      </c>
      <c r="H289" s="13">
        <f>E289+F289</f>
        <v/>
      </c>
      <c r="I289" s="13">
        <f>ABS(D289-E289)</f>
        <v/>
      </c>
      <c r="J289" s="13">
        <f>(D289-E289)^2</f>
        <v/>
      </c>
      <c r="K289" s="14">
        <f>IF(ABS(G289)&lt;=1E-8,"",ABS((G289-H289)/G289))</f>
        <v/>
      </c>
    </row>
    <row r="290">
      <c r="A290" s="11" t="n">
        <v>45535</v>
      </c>
      <c r="B290" s="12" t="inlineStr">
        <is>
          <t>JP</t>
        </is>
      </c>
      <c r="C290" s="12" t="inlineStr">
        <is>
          <t>LightGBM</t>
        </is>
      </c>
      <c r="D290" s="13" t="n">
        <v>-0.2000000000000001</v>
      </c>
      <c r="E290" s="13" t="n">
        <v>-0.0065194861462134</v>
      </c>
      <c r="F290" s="13" t="n">
        <v>2.7</v>
      </c>
      <c r="G290" s="13">
        <f>D290+F290</f>
        <v/>
      </c>
      <c r="H290" s="13">
        <f>E290+F290</f>
        <v/>
      </c>
      <c r="I290" s="13">
        <f>ABS(D290-E290)</f>
        <v/>
      </c>
      <c r="J290" s="13">
        <f>(D290-E290)^2</f>
        <v/>
      </c>
      <c r="K290" s="14">
        <f>IF(ABS(G290)&lt;=1E-8,"",ABS((G290-H290)/G290))</f>
        <v/>
      </c>
    </row>
    <row r="291">
      <c r="A291" s="11" t="n">
        <v>45535</v>
      </c>
      <c r="B291" s="12" t="inlineStr">
        <is>
          <t>KR</t>
        </is>
      </c>
      <c r="C291" s="12" t="inlineStr">
        <is>
          <t>LightGBM</t>
        </is>
      </c>
      <c r="D291" s="13" t="n">
        <v>-0.1</v>
      </c>
      <c r="E291" s="13" t="n">
        <v>-0.0137020162004256</v>
      </c>
      <c r="F291" s="13" t="n">
        <v>2.7</v>
      </c>
      <c r="G291" s="13">
        <f>D291+F291</f>
        <v/>
      </c>
      <c r="H291" s="13">
        <f>E291+F291</f>
        <v/>
      </c>
      <c r="I291" s="13">
        <f>ABS(D291-E291)</f>
        <v/>
      </c>
      <c r="J291" s="13">
        <f>(D291-E291)^2</f>
        <v/>
      </c>
      <c r="K291" s="14">
        <f>IF(ABS(G291)&lt;=1E-8,"",ABS((G291-H291)/G291))</f>
        <v/>
      </c>
    </row>
    <row r="292">
      <c r="A292" s="11" t="n">
        <v>45535</v>
      </c>
      <c r="B292" s="12" t="inlineStr">
        <is>
          <t>US</t>
        </is>
      </c>
      <c r="C292" s="12" t="inlineStr">
        <is>
          <t>LightGBM</t>
        </is>
      </c>
      <c r="D292" s="13" t="n">
        <v>0</v>
      </c>
      <c r="E292" s="13" t="n">
        <v>-0.0137285590504472</v>
      </c>
      <c r="F292" s="13" t="n">
        <v>4.2</v>
      </c>
      <c r="G292" s="13">
        <f>D292+F292</f>
        <v/>
      </c>
      <c r="H292" s="13">
        <f>E292+F292</f>
        <v/>
      </c>
      <c r="I292" s="13">
        <f>ABS(D292-E292)</f>
        <v/>
      </c>
      <c r="J292" s="13">
        <f>(D292-E292)^2</f>
        <v/>
      </c>
      <c r="K292" s="14">
        <f>IF(ABS(G292)&lt;=1E-8,"",ABS((G292-H292)/G292))</f>
        <v/>
      </c>
    </row>
    <row r="293">
      <c r="A293" s="11" t="n">
        <v>45565</v>
      </c>
      <c r="B293" s="12" t="inlineStr">
        <is>
          <t>AU</t>
        </is>
      </c>
      <c r="C293" s="12" t="inlineStr">
        <is>
          <t>LightGBM</t>
        </is>
      </c>
      <c r="D293" s="13" t="n">
        <v>-0.1128520000000001</v>
      </c>
      <c r="E293" s="13" t="n">
        <v>0.0139700214969288</v>
      </c>
      <c r="F293" s="13" t="n">
        <v>4.125323</v>
      </c>
      <c r="G293" s="13">
        <f>D293+F293</f>
        <v/>
      </c>
      <c r="H293" s="13">
        <f>E293+F293</f>
        <v/>
      </c>
      <c r="I293" s="13">
        <f>ABS(D293-E293)</f>
        <v/>
      </c>
      <c r="J293" s="13">
        <f>(D293-E293)^2</f>
        <v/>
      </c>
      <c r="K293" s="14">
        <f>IF(ABS(G293)&lt;=1E-8,"",ABS((G293-H293)/G293))</f>
        <v/>
      </c>
    </row>
    <row r="294">
      <c r="A294" s="11" t="n">
        <v>45565</v>
      </c>
      <c r="B294" s="12" t="inlineStr">
        <is>
          <t>CA</t>
        </is>
      </c>
      <c r="C294" s="12" t="inlineStr">
        <is>
          <t>LightGBM</t>
        </is>
      </c>
      <c r="D294" s="13" t="n">
        <v>-0.0999999999999996</v>
      </c>
      <c r="E294" s="13" t="n">
        <v>-0.0018077564411731</v>
      </c>
      <c r="F294" s="13" t="n">
        <v>6.6</v>
      </c>
      <c r="G294" s="13">
        <f>D294+F294</f>
        <v/>
      </c>
      <c r="H294" s="13">
        <f>E294+F294</f>
        <v/>
      </c>
      <c r="I294" s="13">
        <f>ABS(D294-E294)</f>
        <v/>
      </c>
      <c r="J294" s="13">
        <f>(D294-E294)^2</f>
        <v/>
      </c>
      <c r="K294" s="14">
        <f>IF(ABS(G294)&lt;=1E-8,"",ABS((G294-H294)/G294))</f>
        <v/>
      </c>
    </row>
    <row r="295">
      <c r="A295" s="11" t="n">
        <v>45565</v>
      </c>
      <c r="B295" s="12" t="inlineStr">
        <is>
          <t>DE</t>
        </is>
      </c>
      <c r="C295" s="12" t="inlineStr">
        <is>
          <t>LightGBM</t>
        </is>
      </c>
      <c r="D295" s="13" t="n">
        <v>0</v>
      </c>
      <c r="E295" s="13" t="n">
        <v>0.0175349169948336</v>
      </c>
      <c r="F295" s="13" t="n">
        <v>3.4</v>
      </c>
      <c r="G295" s="13">
        <f>D295+F295</f>
        <v/>
      </c>
      <c r="H295" s="13">
        <f>E295+F295</f>
        <v/>
      </c>
      <c r="I295" s="13">
        <f>ABS(D295-E295)</f>
        <v/>
      </c>
      <c r="J295" s="13">
        <f>(D295-E295)^2</f>
        <v/>
      </c>
      <c r="K295" s="14">
        <f>IF(ABS(G295)&lt;=1E-8,"",ABS((G295-H295)/G295))</f>
        <v/>
      </c>
    </row>
    <row r="296">
      <c r="A296" s="11" t="n">
        <v>45565</v>
      </c>
      <c r="B296" s="12" t="inlineStr">
        <is>
          <t>FR</t>
        </is>
      </c>
      <c r="C296" s="12" t="inlineStr">
        <is>
          <t>LightGBM</t>
        </is>
      </c>
      <c r="D296" s="13" t="n">
        <v>0</v>
      </c>
      <c r="E296" s="13" t="n">
        <v>-0.0279059266073759</v>
      </c>
      <c r="F296" s="13" t="n">
        <v>7.5</v>
      </c>
      <c r="G296" s="13">
        <f>D296+F296</f>
        <v/>
      </c>
      <c r="H296" s="13">
        <f>E296+F296</f>
        <v/>
      </c>
      <c r="I296" s="13">
        <f>ABS(D296-E296)</f>
        <v/>
      </c>
      <c r="J296" s="13">
        <f>(D296-E296)^2</f>
        <v/>
      </c>
      <c r="K296" s="14">
        <f>IF(ABS(G296)&lt;=1E-8,"",ABS((G296-H296)/G296))</f>
        <v/>
      </c>
    </row>
    <row r="297">
      <c r="A297" s="11" t="n">
        <v>45565</v>
      </c>
      <c r="B297" s="12" t="inlineStr">
        <is>
          <t>GB</t>
        </is>
      </c>
      <c r="C297" s="12" t="inlineStr">
        <is>
          <t>LightGBM</t>
        </is>
      </c>
      <c r="D297" s="13" t="n">
        <v>-0.0999999999999996</v>
      </c>
      <c r="E297" s="13" t="n">
        <v>0.0128302996103587</v>
      </c>
      <c r="F297" s="13" t="n">
        <v>4.3</v>
      </c>
      <c r="G297" s="13">
        <f>D297+F297</f>
        <v/>
      </c>
      <c r="H297" s="13">
        <f>E297+F297</f>
        <v/>
      </c>
      <c r="I297" s="13">
        <f>ABS(D297-E297)</f>
        <v/>
      </c>
      <c r="J297" s="13">
        <f>(D297-E297)^2</f>
        <v/>
      </c>
      <c r="K297" s="14">
        <f>IF(ABS(G297)&lt;=1E-8,"",ABS((G297-H297)/G297))</f>
        <v/>
      </c>
    </row>
    <row r="298">
      <c r="A298" s="11" t="n">
        <v>45565</v>
      </c>
      <c r="B298" s="12" t="inlineStr">
        <is>
          <t>IT</t>
        </is>
      </c>
      <c r="C298" s="12" t="inlineStr">
        <is>
          <t>LightGBM</t>
        </is>
      </c>
      <c r="D298" s="13" t="n">
        <v>-0.3000000000000007</v>
      </c>
      <c r="E298" s="13" t="n">
        <v>-0.0444339194538315</v>
      </c>
      <c r="F298" s="13" t="n">
        <v>6.4</v>
      </c>
      <c r="G298" s="13">
        <f>D298+F298</f>
        <v/>
      </c>
      <c r="H298" s="13">
        <f>E298+F298</f>
        <v/>
      </c>
      <c r="I298" s="13">
        <f>ABS(D298-E298)</f>
        <v/>
      </c>
      <c r="J298" s="13">
        <f>(D298-E298)^2</f>
        <v/>
      </c>
      <c r="K298" s="14">
        <f>IF(ABS(G298)&lt;=1E-8,"",ABS((G298-H298)/G298))</f>
        <v/>
      </c>
    </row>
    <row r="299">
      <c r="A299" s="11" t="n">
        <v>45565</v>
      </c>
      <c r="B299" s="12" t="inlineStr">
        <is>
          <t>JP</t>
        </is>
      </c>
      <c r="C299" s="12" t="inlineStr">
        <is>
          <t>LightGBM</t>
        </is>
      </c>
      <c r="D299" s="13" t="n">
        <v>-0.1</v>
      </c>
      <c r="E299" s="13" t="n">
        <v>0.0003206506688158</v>
      </c>
      <c r="F299" s="13" t="n">
        <v>2.5</v>
      </c>
      <c r="G299" s="13">
        <f>D299+F299</f>
        <v/>
      </c>
      <c r="H299" s="13">
        <f>E299+F299</f>
        <v/>
      </c>
      <c r="I299" s="13">
        <f>ABS(D299-E299)</f>
        <v/>
      </c>
      <c r="J299" s="13">
        <f>(D299-E299)^2</f>
        <v/>
      </c>
      <c r="K299" s="14">
        <f>IF(ABS(G299)&lt;=1E-8,"",ABS((G299-H299)/G299))</f>
        <v/>
      </c>
    </row>
    <row r="300">
      <c r="A300" s="11" t="n">
        <v>45565</v>
      </c>
      <c r="B300" s="12" t="inlineStr">
        <is>
          <t>KR</t>
        </is>
      </c>
      <c r="C300" s="12" t="inlineStr">
        <is>
          <t>LightGBM</t>
        </is>
      </c>
      <c r="D300" s="13" t="n">
        <v>0</v>
      </c>
      <c r="E300" s="13" t="n">
        <v>0.0157567799481394</v>
      </c>
      <c r="F300" s="13" t="n">
        <v>2.6</v>
      </c>
      <c r="G300" s="13">
        <f>D300+F300</f>
        <v/>
      </c>
      <c r="H300" s="13">
        <f>E300+F300</f>
        <v/>
      </c>
      <c r="I300" s="13">
        <f>ABS(D300-E300)</f>
        <v/>
      </c>
      <c r="J300" s="13">
        <f>(D300-E300)^2</f>
        <v/>
      </c>
      <c r="K300" s="14">
        <f>IF(ABS(G300)&lt;=1E-8,"",ABS((G300-H300)/G300))</f>
        <v/>
      </c>
    </row>
    <row r="301">
      <c r="A301" s="11" t="n">
        <v>45565</v>
      </c>
      <c r="B301" s="12" t="inlineStr">
        <is>
          <t>US</t>
        </is>
      </c>
      <c r="C301" s="12" t="inlineStr">
        <is>
          <t>LightGBM</t>
        </is>
      </c>
      <c r="D301" s="13" t="n">
        <v>-0.1000000000000005</v>
      </c>
      <c r="E301" s="13" t="n">
        <v>0.0083269337061787</v>
      </c>
      <c r="F301" s="13" t="n">
        <v>4.2</v>
      </c>
      <c r="G301" s="13">
        <f>D301+F301</f>
        <v/>
      </c>
      <c r="H301" s="13">
        <f>E301+F301</f>
        <v/>
      </c>
      <c r="I301" s="13">
        <f>ABS(D301-E301)</f>
        <v/>
      </c>
      <c r="J301" s="13">
        <f>(D301-E301)^2</f>
        <v/>
      </c>
      <c r="K301" s="14">
        <f>IF(ABS(G301)&lt;=1E-8,"",ABS((G301-H301)/G301))</f>
        <v/>
      </c>
    </row>
    <row r="302">
      <c r="A302" s="11" t="n">
        <v>45596</v>
      </c>
      <c r="B302" s="12" t="inlineStr">
        <is>
          <t>AU</t>
        </is>
      </c>
      <c r="C302" s="12" t="inlineStr">
        <is>
          <t>LightGBM</t>
        </is>
      </c>
      <c r="D302" s="13" t="n">
        <v>0.07834099999999999</v>
      </c>
      <c r="E302" s="13" t="n">
        <v>-0.0035625380232475</v>
      </c>
      <c r="F302" s="13" t="n">
        <v>4.012471</v>
      </c>
      <c r="G302" s="13">
        <f>D302+F302</f>
        <v/>
      </c>
      <c r="H302" s="13">
        <f>E302+F302</f>
        <v/>
      </c>
      <c r="I302" s="13">
        <f>ABS(D302-E302)</f>
        <v/>
      </c>
      <c r="J302" s="13">
        <f>(D302-E302)^2</f>
        <v/>
      </c>
      <c r="K302" s="14">
        <f>IF(ABS(G302)&lt;=1E-8,"",ABS((G302-H302)/G302))</f>
        <v/>
      </c>
    </row>
    <row r="303">
      <c r="A303" s="11" t="n">
        <v>45596</v>
      </c>
      <c r="B303" s="12" t="inlineStr">
        <is>
          <t>CA</t>
        </is>
      </c>
      <c r="C303" s="12" t="inlineStr">
        <is>
          <t>LightGBM</t>
        </is>
      </c>
      <c r="D303" s="13" t="n">
        <v>0.0999999999999996</v>
      </c>
      <c r="E303" s="13" t="n">
        <v>-0.0042118106220035</v>
      </c>
      <c r="F303" s="13" t="n">
        <v>6.5</v>
      </c>
      <c r="G303" s="13">
        <f>D303+F303</f>
        <v/>
      </c>
      <c r="H303" s="13">
        <f>E303+F303</f>
        <v/>
      </c>
      <c r="I303" s="13">
        <f>ABS(D303-E303)</f>
        <v/>
      </c>
      <c r="J303" s="13">
        <f>(D303-E303)^2</f>
        <v/>
      </c>
      <c r="K303" s="14">
        <f>IF(ABS(G303)&lt;=1E-8,"",ABS((G303-H303)/G303))</f>
        <v/>
      </c>
    </row>
    <row r="304">
      <c r="A304" s="11" t="n">
        <v>45596</v>
      </c>
      <c r="B304" s="12" t="inlineStr">
        <is>
          <t>DE</t>
        </is>
      </c>
      <c r="C304" s="12" t="inlineStr">
        <is>
          <t>LightGBM</t>
        </is>
      </c>
      <c r="D304" s="13" t="n">
        <v>0</v>
      </c>
      <c r="E304" s="13" t="n">
        <v>0.0049731220056515</v>
      </c>
      <c r="F304" s="13" t="n">
        <v>3.4</v>
      </c>
      <c r="G304" s="13">
        <f>D304+F304</f>
        <v/>
      </c>
      <c r="H304" s="13">
        <f>E304+F304</f>
        <v/>
      </c>
      <c r="I304" s="13">
        <f>ABS(D304-E304)</f>
        <v/>
      </c>
      <c r="J304" s="13">
        <f>(D304-E304)^2</f>
        <v/>
      </c>
      <c r="K304" s="14">
        <f>IF(ABS(G304)&lt;=1E-8,"",ABS((G304-H304)/G304))</f>
        <v/>
      </c>
    </row>
    <row r="305">
      <c r="A305" s="11" t="n">
        <v>45596</v>
      </c>
      <c r="B305" s="12" t="inlineStr">
        <is>
          <t>FR</t>
        </is>
      </c>
      <c r="C305" s="12" t="inlineStr">
        <is>
          <t>LightGBM</t>
        </is>
      </c>
      <c r="D305" s="13" t="n">
        <v>-0.0999999999999996</v>
      </c>
      <c r="E305" s="13" t="n">
        <v>-0.0336545618373734</v>
      </c>
      <c r="F305" s="13" t="n">
        <v>7.5</v>
      </c>
      <c r="G305" s="13">
        <f>D305+F305</f>
        <v/>
      </c>
      <c r="H305" s="13">
        <f>E305+F305</f>
        <v/>
      </c>
      <c r="I305" s="13">
        <f>ABS(D305-E305)</f>
        <v/>
      </c>
      <c r="J305" s="13">
        <f>(D305-E305)^2</f>
        <v/>
      </c>
      <c r="K305" s="14">
        <f>IF(ABS(G305)&lt;=1E-8,"",ABS((G305-H305)/G305))</f>
        <v/>
      </c>
    </row>
    <row r="306">
      <c r="A306" s="11" t="n">
        <v>45596</v>
      </c>
      <c r="B306" s="12" t="inlineStr">
        <is>
          <t>GB</t>
        </is>
      </c>
      <c r="C306" s="12" t="inlineStr">
        <is>
          <t>LightGBM</t>
        </is>
      </c>
      <c r="D306" s="13" t="n">
        <v>0.2000000000000001</v>
      </c>
      <c r="E306" s="13" t="n">
        <v>-0.0077875594404137</v>
      </c>
      <c r="F306" s="13" t="n">
        <v>4.2</v>
      </c>
      <c r="G306" s="13">
        <f>D306+F306</f>
        <v/>
      </c>
      <c r="H306" s="13">
        <f>E306+F306</f>
        <v/>
      </c>
      <c r="I306" s="13">
        <f>ABS(D306-E306)</f>
        <v/>
      </c>
      <c r="J306" s="13">
        <f>(D306-E306)^2</f>
        <v/>
      </c>
      <c r="K306" s="14">
        <f>IF(ABS(G306)&lt;=1E-8,"",ABS((G306-H306)/G306))</f>
        <v/>
      </c>
    </row>
    <row r="307">
      <c r="A307" s="11" t="n">
        <v>45596</v>
      </c>
      <c r="B307" s="12" t="inlineStr">
        <is>
          <t>IT</t>
        </is>
      </c>
      <c r="C307" s="12" t="inlineStr">
        <is>
          <t>LightGBM</t>
        </is>
      </c>
      <c r="D307" s="13" t="n">
        <v>0</v>
      </c>
      <c r="E307" s="13" t="n">
        <v>-0.0298668907021327</v>
      </c>
      <c r="F307" s="13" t="n">
        <v>6.1</v>
      </c>
      <c r="G307" s="13">
        <f>D307+F307</f>
        <v/>
      </c>
      <c r="H307" s="13">
        <f>E307+F307</f>
        <v/>
      </c>
      <c r="I307" s="13">
        <f>ABS(D307-E307)</f>
        <v/>
      </c>
      <c r="J307" s="13">
        <f>(D307-E307)^2</f>
        <v/>
      </c>
      <c r="K307" s="14">
        <f>IF(ABS(G307)&lt;=1E-8,"",ABS((G307-H307)/G307))</f>
        <v/>
      </c>
    </row>
    <row r="308">
      <c r="A308" s="11" t="n">
        <v>45596</v>
      </c>
      <c r="B308" s="12" t="inlineStr">
        <is>
          <t>JP</t>
        </is>
      </c>
      <c r="C308" s="12" t="inlineStr">
        <is>
          <t>LightGBM</t>
        </is>
      </c>
      <c r="D308" s="13" t="n">
        <v>0.1</v>
      </c>
      <c r="E308" s="13" t="n">
        <v>0.0010349175839525</v>
      </c>
      <c r="F308" s="13" t="n">
        <v>2.4</v>
      </c>
      <c r="G308" s="13">
        <f>D308+F308</f>
        <v/>
      </c>
      <c r="H308" s="13">
        <f>E308+F308</f>
        <v/>
      </c>
      <c r="I308" s="13">
        <f>ABS(D308-E308)</f>
        <v/>
      </c>
      <c r="J308" s="13">
        <f>(D308-E308)^2</f>
        <v/>
      </c>
      <c r="K308" s="14">
        <f>IF(ABS(G308)&lt;=1E-8,"",ABS((G308-H308)/G308))</f>
        <v/>
      </c>
    </row>
    <row r="309">
      <c r="A309" s="11" t="n">
        <v>45596</v>
      </c>
      <c r="B309" s="12" t="inlineStr">
        <is>
          <t>KR</t>
        </is>
      </c>
      <c r="C309" s="12" t="inlineStr">
        <is>
          <t>LightGBM</t>
        </is>
      </c>
      <c r="D309" s="13" t="n">
        <v>0.1999999999999997</v>
      </c>
      <c r="E309" s="13" t="n">
        <v>0.0119349305711805</v>
      </c>
      <c r="F309" s="13" t="n">
        <v>2.6</v>
      </c>
      <c r="G309" s="13">
        <f>D309+F309</f>
        <v/>
      </c>
      <c r="H309" s="13">
        <f>E309+F309</f>
        <v/>
      </c>
      <c r="I309" s="13">
        <f>ABS(D309-E309)</f>
        <v/>
      </c>
      <c r="J309" s="13">
        <f>(D309-E309)^2</f>
        <v/>
      </c>
      <c r="K309" s="14">
        <f>IF(ABS(G309)&lt;=1E-8,"",ABS((G309-H309)/G309))</f>
        <v/>
      </c>
    </row>
    <row r="310">
      <c r="A310" s="11" t="n">
        <v>45596</v>
      </c>
      <c r="B310" s="12" t="inlineStr">
        <is>
          <t>US</t>
        </is>
      </c>
      <c r="C310" s="12" t="inlineStr">
        <is>
          <t>LightGBM</t>
        </is>
      </c>
      <c r="D310" s="13" t="n">
        <v>0</v>
      </c>
      <c r="E310" s="13" t="n">
        <v>-0.0182288167470201</v>
      </c>
      <c r="F310" s="13" t="n">
        <v>4.1</v>
      </c>
      <c r="G310" s="13">
        <f>D310+F310</f>
        <v/>
      </c>
      <c r="H310" s="13">
        <f>E310+F310</f>
        <v/>
      </c>
      <c r="I310" s="13">
        <f>ABS(D310-E310)</f>
        <v/>
      </c>
      <c r="J310" s="13">
        <f>(D310-E310)^2</f>
        <v/>
      </c>
      <c r="K310" s="14">
        <f>IF(ABS(G310)&lt;=1E-8,"",ABS((G310-H310)/G310))</f>
        <v/>
      </c>
    </row>
    <row r="311">
      <c r="A311" s="11" t="n">
        <v>45626</v>
      </c>
      <c r="B311" s="12" t="inlineStr">
        <is>
          <t>AU</t>
        </is>
      </c>
      <c r="C311" s="12" t="inlineStr">
        <is>
          <t>LightGBM</t>
        </is>
      </c>
      <c r="D311" s="13" t="n">
        <v>-0.1543519999999998</v>
      </c>
      <c r="E311" s="13" t="n">
        <v>0.0164311119045076</v>
      </c>
      <c r="F311" s="13" t="n">
        <v>4.090812</v>
      </c>
      <c r="G311" s="13">
        <f>D311+F311</f>
        <v/>
      </c>
      <c r="H311" s="13">
        <f>E311+F311</f>
        <v/>
      </c>
      <c r="I311" s="13">
        <f>ABS(D311-E311)</f>
        <v/>
      </c>
      <c r="J311" s="13">
        <f>(D311-E311)^2</f>
        <v/>
      </c>
      <c r="K311" s="14">
        <f>IF(ABS(G311)&lt;=1E-8,"",ABS((G311-H311)/G311))</f>
        <v/>
      </c>
    </row>
    <row r="312">
      <c r="A312" s="11" t="n">
        <v>45626</v>
      </c>
      <c r="B312" s="12" t="inlineStr">
        <is>
          <t>CA</t>
        </is>
      </c>
      <c r="C312" s="12" t="inlineStr">
        <is>
          <t>LightGBM</t>
        </is>
      </c>
      <c r="D312" s="13" t="n">
        <v>0.4000000000000003</v>
      </c>
      <c r="E312" s="13" t="n">
        <v>0.0358197561181477</v>
      </c>
      <c r="F312" s="13" t="n">
        <v>6.6</v>
      </c>
      <c r="G312" s="13">
        <f>D312+F312</f>
        <v/>
      </c>
      <c r="H312" s="13">
        <f>E312+F312</f>
        <v/>
      </c>
      <c r="I312" s="13">
        <f>ABS(D312-E312)</f>
        <v/>
      </c>
      <c r="J312" s="13">
        <f>(D312-E312)^2</f>
        <v/>
      </c>
      <c r="K312" s="14">
        <f>IF(ABS(G312)&lt;=1E-8,"",ABS((G312-H312)/G312))</f>
        <v/>
      </c>
    </row>
    <row r="313">
      <c r="A313" s="11" t="n">
        <v>45626</v>
      </c>
      <c r="B313" s="12" t="inlineStr">
        <is>
          <t>DE</t>
        </is>
      </c>
      <c r="C313" s="12" t="inlineStr">
        <is>
          <t>LightGBM</t>
        </is>
      </c>
      <c r="D313" s="13" t="n">
        <v>0</v>
      </c>
      <c r="E313" s="13" t="n">
        <v>0.0117933721500682</v>
      </c>
      <c r="F313" s="13" t="n">
        <v>3.4</v>
      </c>
      <c r="G313" s="13">
        <f>D313+F313</f>
        <v/>
      </c>
      <c r="H313" s="13">
        <f>E313+F313</f>
        <v/>
      </c>
      <c r="I313" s="13">
        <f>ABS(D313-E313)</f>
        <v/>
      </c>
      <c r="J313" s="13">
        <f>(D313-E313)^2</f>
        <v/>
      </c>
      <c r="K313" s="14">
        <f>IF(ABS(G313)&lt;=1E-8,"",ABS((G313-H313)/G313))</f>
        <v/>
      </c>
    </row>
    <row r="314">
      <c r="A314" s="11" t="n">
        <v>45626</v>
      </c>
      <c r="B314" s="12" t="inlineStr">
        <is>
          <t>FR</t>
        </is>
      </c>
      <c r="C314" s="12" t="inlineStr">
        <is>
          <t>LightGBM</t>
        </is>
      </c>
      <c r="D314" s="13" t="n">
        <v>0</v>
      </c>
      <c r="E314" s="13" t="n">
        <v>-0.0291287900398393</v>
      </c>
      <c r="F314" s="13" t="n">
        <v>7.4</v>
      </c>
      <c r="G314" s="13">
        <f>D314+F314</f>
        <v/>
      </c>
      <c r="H314" s="13">
        <f>E314+F314</f>
        <v/>
      </c>
      <c r="I314" s="13">
        <f>ABS(D314-E314)</f>
        <v/>
      </c>
      <c r="J314" s="13">
        <f>(D314-E314)^2</f>
        <v/>
      </c>
      <c r="K314" s="14">
        <f>IF(ABS(G314)&lt;=1E-8,"",ABS((G314-H314)/G314))</f>
        <v/>
      </c>
    </row>
    <row r="315">
      <c r="A315" s="11" t="n">
        <v>45626</v>
      </c>
      <c r="B315" s="12" t="inlineStr">
        <is>
          <t>GB</t>
        </is>
      </c>
      <c r="C315" s="12" t="inlineStr">
        <is>
          <t>LightGBM</t>
        </is>
      </c>
      <c r="D315" s="13" t="n">
        <v>0</v>
      </c>
      <c r="E315" s="13" t="n">
        <v>0.0314895740427262</v>
      </c>
      <c r="F315" s="13" t="n">
        <v>4.4</v>
      </c>
      <c r="G315" s="13">
        <f>D315+F315</f>
        <v/>
      </c>
      <c r="H315" s="13">
        <f>E315+F315</f>
        <v/>
      </c>
      <c r="I315" s="13">
        <f>ABS(D315-E315)</f>
        <v/>
      </c>
      <c r="J315" s="13">
        <f>(D315-E315)^2</f>
        <v/>
      </c>
      <c r="K315" s="14">
        <f>IF(ABS(G315)&lt;=1E-8,"",ABS((G315-H315)/G315))</f>
        <v/>
      </c>
    </row>
    <row r="316">
      <c r="A316" s="11" t="n">
        <v>45626</v>
      </c>
      <c r="B316" s="12" t="inlineStr">
        <is>
          <t>IT</t>
        </is>
      </c>
      <c r="C316" s="12" t="inlineStr">
        <is>
          <t>LightGBM</t>
        </is>
      </c>
      <c r="D316" s="13" t="n">
        <v>0.1000000000000005</v>
      </c>
      <c r="E316" s="13" t="n">
        <v>-0.0170234127092828</v>
      </c>
      <c r="F316" s="13" t="n">
        <v>6.1</v>
      </c>
      <c r="G316" s="13">
        <f>D316+F316</f>
        <v/>
      </c>
      <c r="H316" s="13">
        <f>E316+F316</f>
        <v/>
      </c>
      <c r="I316" s="13">
        <f>ABS(D316-E316)</f>
        <v/>
      </c>
      <c r="J316" s="13">
        <f>(D316-E316)^2</f>
        <v/>
      </c>
      <c r="K316" s="14">
        <f>IF(ABS(G316)&lt;=1E-8,"",ABS((G316-H316)/G316))</f>
        <v/>
      </c>
    </row>
    <row r="317">
      <c r="A317" s="11" t="n">
        <v>45626</v>
      </c>
      <c r="B317" s="12" t="inlineStr">
        <is>
          <t>JP</t>
        </is>
      </c>
      <c r="C317" s="12" t="inlineStr">
        <is>
          <t>LightGBM</t>
        </is>
      </c>
      <c r="D317" s="13" t="n">
        <v>0</v>
      </c>
      <c r="E317" s="13" t="n">
        <v>0.0280855086633563</v>
      </c>
      <c r="F317" s="13" t="n">
        <v>2.5</v>
      </c>
      <c r="G317" s="13">
        <f>D317+F317</f>
        <v/>
      </c>
      <c r="H317" s="13">
        <f>E317+F317</f>
        <v/>
      </c>
      <c r="I317" s="13">
        <f>ABS(D317-E317)</f>
        <v/>
      </c>
      <c r="J317" s="13">
        <f>(D317-E317)^2</f>
        <v/>
      </c>
      <c r="K317" s="14">
        <f>IF(ABS(G317)&lt;=1E-8,"",ABS((G317-H317)/G317))</f>
        <v/>
      </c>
    </row>
    <row r="318">
      <c r="A318" s="11" t="n">
        <v>45626</v>
      </c>
      <c r="B318" s="12" t="inlineStr">
        <is>
          <t>KR</t>
        </is>
      </c>
      <c r="C318" s="12" t="inlineStr">
        <is>
          <t>LightGBM</t>
        </is>
      </c>
      <c r="D318" s="13" t="n">
        <v>0</v>
      </c>
      <c r="E318" s="13" t="n">
        <v>-0.0001352064353528</v>
      </c>
      <c r="F318" s="13" t="n">
        <v>2.8</v>
      </c>
      <c r="G318" s="13">
        <f>D318+F318</f>
        <v/>
      </c>
      <c r="H318" s="13">
        <f>E318+F318</f>
        <v/>
      </c>
      <c r="I318" s="13">
        <f>ABS(D318-E318)</f>
        <v/>
      </c>
      <c r="J318" s="13">
        <f>(D318-E318)^2</f>
        <v/>
      </c>
      <c r="K318" s="14">
        <f>IF(ABS(G318)&lt;=1E-8,"",ABS((G318-H318)/G318))</f>
        <v/>
      </c>
    </row>
    <row r="319">
      <c r="A319" s="11" t="n">
        <v>45626</v>
      </c>
      <c r="B319" s="12" t="inlineStr">
        <is>
          <t>US</t>
        </is>
      </c>
      <c r="C319" s="12" t="inlineStr">
        <is>
          <t>LightGBM</t>
        </is>
      </c>
      <c r="D319" s="13" t="n">
        <v>0.1000000000000005</v>
      </c>
      <c r="E319" s="13" t="n">
        <v>0.0142571101183875</v>
      </c>
      <c r="F319" s="13" t="n">
        <v>4.1</v>
      </c>
      <c r="G319" s="13">
        <f>D319+F319</f>
        <v/>
      </c>
      <c r="H319" s="13">
        <f>E319+F319</f>
        <v/>
      </c>
      <c r="I319" s="13">
        <f>ABS(D319-E319)</f>
        <v/>
      </c>
      <c r="J319" s="13">
        <f>(D319-E319)^2</f>
        <v/>
      </c>
      <c r="K319" s="14">
        <f>IF(ABS(G319)&lt;=1E-8,"",ABS((G319-H319)/G319))</f>
        <v/>
      </c>
    </row>
    <row r="320">
      <c r="A320" s="11" t="n">
        <v>45657</v>
      </c>
      <c r="B320" s="12" t="inlineStr">
        <is>
          <t>AU</t>
        </is>
      </c>
      <c r="C320" s="12" t="inlineStr">
        <is>
          <t>LightGBM</t>
        </is>
      </c>
      <c r="D320" s="13" t="n">
        <v>0.0621260000000001</v>
      </c>
      <c r="E320" s="13" t="n">
        <v>0.0296893012082844</v>
      </c>
      <c r="F320" s="13" t="n">
        <v>3.93646</v>
      </c>
      <c r="G320" s="13">
        <f>D320+F320</f>
        <v/>
      </c>
      <c r="H320" s="13">
        <f>E320+F320</f>
        <v/>
      </c>
      <c r="I320" s="13">
        <f>ABS(D320-E320)</f>
        <v/>
      </c>
      <c r="J320" s="13">
        <f>(D320-E320)^2</f>
        <v/>
      </c>
      <c r="K320" s="14">
        <f>IF(ABS(G320)&lt;=1E-8,"",ABS((G320-H320)/G320))</f>
        <v/>
      </c>
    </row>
    <row r="321">
      <c r="A321" s="11" t="n">
        <v>45657</v>
      </c>
      <c r="B321" s="12" t="inlineStr">
        <is>
          <t>CA</t>
        </is>
      </c>
      <c r="C321" s="12" t="inlineStr">
        <is>
          <t>LightGBM</t>
        </is>
      </c>
      <c r="D321" s="13" t="n">
        <v>-0.2999999999999998</v>
      </c>
      <c r="E321" s="13" t="n">
        <v>0.0248674789503618</v>
      </c>
      <c r="F321" s="13" t="n">
        <v>7</v>
      </c>
      <c r="G321" s="13">
        <f>D321+F321</f>
        <v/>
      </c>
      <c r="H321" s="13">
        <f>E321+F321</f>
        <v/>
      </c>
      <c r="I321" s="13">
        <f>ABS(D321-E321)</f>
        <v/>
      </c>
      <c r="J321" s="13">
        <f>(D321-E321)^2</f>
        <v/>
      </c>
      <c r="K321" s="14">
        <f>IF(ABS(G321)&lt;=1E-8,"",ABS((G321-H321)/G321))</f>
        <v/>
      </c>
    </row>
    <row r="322">
      <c r="A322" s="11" t="n">
        <v>45657</v>
      </c>
      <c r="B322" s="12" t="inlineStr">
        <is>
          <t>DE</t>
        </is>
      </c>
      <c r="C322" s="12" t="inlineStr">
        <is>
          <t>LightGBM</t>
        </is>
      </c>
      <c r="D322" s="13" t="n">
        <v>0.1</v>
      </c>
      <c r="E322" s="13" t="n">
        <v>0.0190842778890251</v>
      </c>
      <c r="F322" s="13" t="n">
        <v>3.4</v>
      </c>
      <c r="G322" s="13">
        <f>D322+F322</f>
        <v/>
      </c>
      <c r="H322" s="13">
        <f>E322+F322</f>
        <v/>
      </c>
      <c r="I322" s="13">
        <f>ABS(D322-E322)</f>
        <v/>
      </c>
      <c r="J322" s="13">
        <f>(D322-E322)^2</f>
        <v/>
      </c>
      <c r="K322" s="14">
        <f>IF(ABS(G322)&lt;=1E-8,"",ABS((G322-H322)/G322))</f>
        <v/>
      </c>
    </row>
    <row r="323">
      <c r="A323" s="11" t="n">
        <v>45657</v>
      </c>
      <c r="B323" s="12" t="inlineStr">
        <is>
          <t>FR</t>
        </is>
      </c>
      <c r="C323" s="12" t="inlineStr">
        <is>
          <t>LightGBM</t>
        </is>
      </c>
      <c r="D323" s="13" t="n">
        <v>-0.1000000000000005</v>
      </c>
      <c r="E323" s="13" t="n">
        <v>-0.0130864953650081</v>
      </c>
      <c r="F323" s="13" t="n">
        <v>7.4</v>
      </c>
      <c r="G323" s="13">
        <f>D323+F323</f>
        <v/>
      </c>
      <c r="H323" s="13">
        <f>E323+F323</f>
        <v/>
      </c>
      <c r="I323" s="13">
        <f>ABS(D323-E323)</f>
        <v/>
      </c>
      <c r="J323" s="13">
        <f>(D323-E323)^2</f>
        <v/>
      </c>
      <c r="K323" s="14">
        <f>IF(ABS(G323)&lt;=1E-8,"",ABS((G323-H323)/G323))</f>
        <v/>
      </c>
    </row>
    <row r="324">
      <c r="A324" s="11" t="n">
        <v>45657</v>
      </c>
      <c r="B324" s="12" t="inlineStr">
        <is>
          <t>GB</t>
        </is>
      </c>
      <c r="C324" s="12" t="inlineStr">
        <is>
          <t>LightGBM</t>
        </is>
      </c>
      <c r="D324" s="13" t="n">
        <v>0</v>
      </c>
      <c r="E324" s="13" t="n">
        <v>0.0437402328844091</v>
      </c>
      <c r="F324" s="13" t="n">
        <v>4.4</v>
      </c>
      <c r="G324" s="13">
        <f>D324+F324</f>
        <v/>
      </c>
      <c r="H324" s="13">
        <f>E324+F324</f>
        <v/>
      </c>
      <c r="I324" s="13">
        <f>ABS(D324-E324)</f>
        <v/>
      </c>
      <c r="J324" s="13">
        <f>(D324-E324)^2</f>
        <v/>
      </c>
      <c r="K324" s="14">
        <f>IF(ABS(G324)&lt;=1E-8,"",ABS((G324-H324)/G324))</f>
        <v/>
      </c>
    </row>
    <row r="325">
      <c r="A325" s="11" t="n">
        <v>45657</v>
      </c>
      <c r="B325" s="12" t="inlineStr">
        <is>
          <t>IT</t>
        </is>
      </c>
      <c r="C325" s="12" t="inlineStr">
        <is>
          <t>LightGBM</t>
        </is>
      </c>
      <c r="D325" s="13" t="n">
        <v>0.2000000000000001</v>
      </c>
      <c r="E325" s="13" t="n">
        <v>-0.0053744223541016</v>
      </c>
      <c r="F325" s="13" t="n">
        <v>6.2</v>
      </c>
      <c r="G325" s="13">
        <f>D325+F325</f>
        <v/>
      </c>
      <c r="H325" s="13">
        <f>E325+F325</f>
        <v/>
      </c>
      <c r="I325" s="13">
        <f>ABS(D325-E325)</f>
        <v/>
      </c>
      <c r="J325" s="13">
        <f>(D325-E325)^2</f>
        <v/>
      </c>
      <c r="K325" s="14">
        <f>IF(ABS(G325)&lt;=1E-8,"",ABS((G325-H325)/G325))</f>
        <v/>
      </c>
    </row>
    <row r="326">
      <c r="A326" s="11" t="n">
        <v>45657</v>
      </c>
      <c r="B326" s="12" t="inlineStr">
        <is>
          <t>JP</t>
        </is>
      </c>
      <c r="C326" s="12" t="inlineStr">
        <is>
          <t>LightGBM</t>
        </is>
      </c>
      <c r="D326" s="13" t="n">
        <v>0</v>
      </c>
      <c r="E326" s="13" t="n">
        <v>0.0135004303746142</v>
      </c>
      <c r="F326" s="13" t="n">
        <v>2.5</v>
      </c>
      <c r="G326" s="13">
        <f>D326+F326</f>
        <v/>
      </c>
      <c r="H326" s="13">
        <f>E326+F326</f>
        <v/>
      </c>
      <c r="I326" s="13">
        <f>ABS(D326-E326)</f>
        <v/>
      </c>
      <c r="J326" s="13">
        <f>(D326-E326)^2</f>
        <v/>
      </c>
      <c r="K326" s="14">
        <f>IF(ABS(G326)&lt;=1E-8,"",ABS((G326-H326)/G326))</f>
        <v/>
      </c>
    </row>
    <row r="327">
      <c r="A327" s="11" t="n">
        <v>45657</v>
      </c>
      <c r="B327" s="12" t="inlineStr">
        <is>
          <t>KR</t>
        </is>
      </c>
      <c r="C327" s="12" t="inlineStr">
        <is>
          <t>LightGBM</t>
        </is>
      </c>
      <c r="D327" s="13" t="n">
        <v>0.3000000000000002</v>
      </c>
      <c r="E327" s="13" t="n">
        <v>0.0328273198656704</v>
      </c>
      <c r="F327" s="13" t="n">
        <v>2.8</v>
      </c>
      <c r="G327" s="13">
        <f>D327+F327</f>
        <v/>
      </c>
      <c r="H327" s="13">
        <f>E327+F327</f>
        <v/>
      </c>
      <c r="I327" s="13">
        <f>ABS(D327-E327)</f>
        <v/>
      </c>
      <c r="J327" s="13">
        <f>(D327-E327)^2</f>
        <v/>
      </c>
      <c r="K327" s="14">
        <f>IF(ABS(G327)&lt;=1E-8,"",ABS((G327-H327)/G327))</f>
        <v/>
      </c>
    </row>
    <row r="328">
      <c r="A328" s="11" t="n">
        <v>45657</v>
      </c>
      <c r="B328" s="12" t="inlineStr">
        <is>
          <t>US</t>
        </is>
      </c>
      <c r="C328" s="12" t="inlineStr">
        <is>
          <t>LightGBM</t>
        </is>
      </c>
      <c r="D328" s="13" t="n">
        <v>-0.1000000000000005</v>
      </c>
      <c r="E328" s="13" t="n">
        <v>0.0349442780596908</v>
      </c>
      <c r="F328" s="13" t="n">
        <v>4.2</v>
      </c>
      <c r="G328" s="13">
        <f>D328+F328</f>
        <v/>
      </c>
      <c r="H328" s="13">
        <f>E328+F328</f>
        <v/>
      </c>
      <c r="I328" s="13">
        <f>ABS(D328-E328)</f>
        <v/>
      </c>
      <c r="J328" s="13">
        <f>(D328-E328)^2</f>
        <v/>
      </c>
      <c r="K328" s="14">
        <f>IF(ABS(G328)&lt;=1E-8,"",ABS((G328-H328)/G328))</f>
        <v/>
      </c>
    </row>
    <row r="329">
      <c r="A329" s="11" t="n">
        <v>45688</v>
      </c>
      <c r="B329" s="12" t="inlineStr">
        <is>
          <t>AU</t>
        </is>
      </c>
      <c r="C329" s="12" t="inlineStr">
        <is>
          <t>LightGBM</t>
        </is>
      </c>
      <c r="D329" s="13" t="n">
        <v>0.1283800000000003</v>
      </c>
      <c r="E329" s="13" t="n">
        <v>-0.001362740675032</v>
      </c>
      <c r="F329" s="13" t="n">
        <v>3.998586</v>
      </c>
      <c r="G329" s="13">
        <f>D329+F329</f>
        <v/>
      </c>
      <c r="H329" s="13">
        <f>E329+F329</f>
        <v/>
      </c>
      <c r="I329" s="13">
        <f>ABS(D329-E329)</f>
        <v/>
      </c>
      <c r="J329" s="13">
        <f>(D329-E329)^2</f>
        <v/>
      </c>
      <c r="K329" s="14">
        <f>IF(ABS(G329)&lt;=1E-8,"",ABS((G329-H329)/G329))</f>
        <v/>
      </c>
    </row>
    <row r="330">
      <c r="A330" s="11" t="n">
        <v>45688</v>
      </c>
      <c r="B330" s="12" t="inlineStr">
        <is>
          <t>CA</t>
        </is>
      </c>
      <c r="C330" s="12" t="inlineStr">
        <is>
          <t>LightGBM</t>
        </is>
      </c>
      <c r="D330" s="13" t="n">
        <v>0</v>
      </c>
      <c r="E330" s="13" t="n">
        <v>0.0129121964739931</v>
      </c>
      <c r="F330" s="13" t="n">
        <v>6.7</v>
      </c>
      <c r="G330" s="13">
        <f>D330+F330</f>
        <v/>
      </c>
      <c r="H330" s="13">
        <f>E330+F330</f>
        <v/>
      </c>
      <c r="I330" s="13">
        <f>ABS(D330-E330)</f>
        <v/>
      </c>
      <c r="J330" s="13">
        <f>(D330-E330)^2</f>
        <v/>
      </c>
      <c r="K330" s="14">
        <f>IF(ABS(G330)&lt;=1E-8,"",ABS((G330-H330)/G330))</f>
        <v/>
      </c>
    </row>
    <row r="331">
      <c r="A331" s="11" t="n">
        <v>45688</v>
      </c>
      <c r="B331" s="12" t="inlineStr">
        <is>
          <t>DE</t>
        </is>
      </c>
      <c r="C331" s="12" t="inlineStr">
        <is>
          <t>LightGBM</t>
        </is>
      </c>
      <c r="D331" s="13" t="n">
        <v>0</v>
      </c>
      <c r="E331" s="13" t="n">
        <v>0.0231193080746675</v>
      </c>
      <c r="F331" s="13" t="n">
        <v>3.5</v>
      </c>
      <c r="G331" s="13">
        <f>D331+F331</f>
        <v/>
      </c>
      <c r="H331" s="13">
        <f>E331+F331</f>
        <v/>
      </c>
      <c r="I331" s="13">
        <f>ABS(D331-E331)</f>
        <v/>
      </c>
      <c r="J331" s="13">
        <f>(D331-E331)^2</f>
        <v/>
      </c>
      <c r="K331" s="14">
        <f>IF(ABS(G331)&lt;=1E-8,"",ABS((G331-H331)/G331))</f>
        <v/>
      </c>
    </row>
    <row r="332">
      <c r="A332" s="11" t="n">
        <v>45688</v>
      </c>
      <c r="B332" s="12" t="inlineStr">
        <is>
          <t>FR</t>
        </is>
      </c>
      <c r="C332" s="12" t="inlineStr">
        <is>
          <t>LightGBM</t>
        </is>
      </c>
      <c r="D332" s="13" t="n">
        <v>0</v>
      </c>
      <c r="E332" s="13" t="n">
        <v>-0.0261267023985068</v>
      </c>
      <c r="F332" s="13" t="n">
        <v>7.3</v>
      </c>
      <c r="G332" s="13">
        <f>D332+F332</f>
        <v/>
      </c>
      <c r="H332" s="13">
        <f>E332+F332</f>
        <v/>
      </c>
      <c r="I332" s="13">
        <f>ABS(D332-E332)</f>
        <v/>
      </c>
      <c r="J332" s="13">
        <f>(D332-E332)^2</f>
        <v/>
      </c>
      <c r="K332" s="14">
        <f>IF(ABS(G332)&lt;=1E-8,"",ABS((G332-H332)/G332))</f>
        <v/>
      </c>
    </row>
    <row r="333">
      <c r="A333" s="11" t="n">
        <v>45688</v>
      </c>
      <c r="B333" s="12" t="inlineStr">
        <is>
          <t>GB</t>
        </is>
      </c>
      <c r="C333" s="12" t="inlineStr">
        <is>
          <t>LightGBM</t>
        </is>
      </c>
      <c r="D333" s="13" t="n">
        <v>0.0999999999999996</v>
      </c>
      <c r="E333" s="13" t="n">
        <v>0.0105643197030944</v>
      </c>
      <c r="F333" s="13" t="n">
        <v>4.4</v>
      </c>
      <c r="G333" s="13">
        <f>D333+F333</f>
        <v/>
      </c>
      <c r="H333" s="13">
        <f>E333+F333</f>
        <v/>
      </c>
      <c r="I333" s="13">
        <f>ABS(D333-E333)</f>
        <v/>
      </c>
      <c r="J333" s="13">
        <f>(D333-E333)^2</f>
        <v/>
      </c>
      <c r="K333" s="14">
        <f>IF(ABS(G333)&lt;=1E-8,"",ABS((G333-H333)/G333))</f>
        <v/>
      </c>
    </row>
    <row r="334">
      <c r="A334" s="11" t="n">
        <v>45688</v>
      </c>
      <c r="B334" s="12" t="inlineStr">
        <is>
          <t>IT</t>
        </is>
      </c>
      <c r="C334" s="12" t="inlineStr">
        <is>
          <t>LightGBM</t>
        </is>
      </c>
      <c r="D334" s="13" t="n">
        <v>0.0999999999999996</v>
      </c>
      <c r="E334" s="13" t="n">
        <v>-0.0151881849950873</v>
      </c>
      <c r="F334" s="13" t="n">
        <v>6.4</v>
      </c>
      <c r="G334" s="13">
        <f>D334+F334</f>
        <v/>
      </c>
      <c r="H334" s="13">
        <f>E334+F334</f>
        <v/>
      </c>
      <c r="I334" s="13">
        <f>ABS(D334-E334)</f>
        <v/>
      </c>
      <c r="J334" s="13">
        <f>(D334-E334)^2</f>
        <v/>
      </c>
      <c r="K334" s="14">
        <f>IF(ABS(G334)&lt;=1E-8,"",ABS((G334-H334)/G334))</f>
        <v/>
      </c>
    </row>
    <row r="335">
      <c r="A335" s="11" t="n">
        <v>45688</v>
      </c>
      <c r="B335" s="12" t="inlineStr">
        <is>
          <t>JP</t>
        </is>
      </c>
      <c r="C335" s="12" t="inlineStr">
        <is>
          <t>LightGBM</t>
        </is>
      </c>
      <c r="D335" s="13" t="n">
        <v>0</v>
      </c>
      <c r="E335" s="13" t="n">
        <v>0.012864531873812</v>
      </c>
      <c r="F335" s="13" t="n">
        <v>2.5</v>
      </c>
      <c r="G335" s="13">
        <f>D335+F335</f>
        <v/>
      </c>
      <c r="H335" s="13">
        <f>E335+F335</f>
        <v/>
      </c>
      <c r="I335" s="13">
        <f>ABS(D335-E335)</f>
        <v/>
      </c>
      <c r="J335" s="13">
        <f>(D335-E335)^2</f>
        <v/>
      </c>
      <c r="K335" s="14">
        <f>IF(ABS(G335)&lt;=1E-8,"",ABS((G335-H335)/G335))</f>
        <v/>
      </c>
    </row>
    <row r="336">
      <c r="A336" s="11" t="n">
        <v>45688</v>
      </c>
      <c r="B336" s="12" t="inlineStr">
        <is>
          <t>KR</t>
        </is>
      </c>
      <c r="C336" s="12" t="inlineStr">
        <is>
          <t>LightGBM</t>
        </is>
      </c>
      <c r="D336" s="13" t="n">
        <v>-0.3000000000000002</v>
      </c>
      <c r="E336" s="13" t="n">
        <v>0.0240973002537036</v>
      </c>
      <c r="F336" s="13" t="n">
        <v>3.1</v>
      </c>
      <c r="G336" s="13">
        <f>D336+F336</f>
        <v/>
      </c>
      <c r="H336" s="13">
        <f>E336+F336</f>
        <v/>
      </c>
      <c r="I336" s="13">
        <f>ABS(D336-E336)</f>
        <v/>
      </c>
      <c r="J336" s="13">
        <f>(D336-E336)^2</f>
        <v/>
      </c>
      <c r="K336" s="14">
        <f>IF(ABS(G336)&lt;=1E-8,"",ABS((G336-H336)/G336))</f>
        <v/>
      </c>
    </row>
    <row r="337">
      <c r="A337" s="11" t="n">
        <v>45688</v>
      </c>
      <c r="B337" s="12" t="inlineStr">
        <is>
          <t>US</t>
        </is>
      </c>
      <c r="C337" s="12" t="inlineStr">
        <is>
          <t>LightGBM</t>
        </is>
      </c>
      <c r="D337" s="13" t="n">
        <v>-0.0999999999999996</v>
      </c>
      <c r="E337" s="13" t="n">
        <v>-0.0053592735466499</v>
      </c>
      <c r="F337" s="13" t="n">
        <v>4.1</v>
      </c>
      <c r="G337" s="13">
        <f>D337+F337</f>
        <v/>
      </c>
      <c r="H337" s="13">
        <f>E337+F337</f>
        <v/>
      </c>
      <c r="I337" s="13">
        <f>ABS(D337-E337)</f>
        <v/>
      </c>
      <c r="J337" s="13">
        <f>(D337-E337)^2</f>
        <v/>
      </c>
      <c r="K337" s="14">
        <f>IF(ABS(G337)&lt;=1E-8,"",ABS((G337-H337)/G337))</f>
        <v/>
      </c>
    </row>
    <row r="338">
      <c r="A338" s="11" t="n">
        <v>45716</v>
      </c>
      <c r="B338" s="12" t="inlineStr">
        <is>
          <t>AU</t>
        </is>
      </c>
      <c r="C338" s="12" t="inlineStr">
        <is>
          <t>LightGBM</t>
        </is>
      </c>
      <c r="D338" s="13" t="n">
        <v>-0.0528409999999999</v>
      </c>
      <c r="E338" s="13" t="n">
        <v>0.0030264683905722</v>
      </c>
      <c r="F338" s="13" t="n">
        <v>4.126966</v>
      </c>
      <c r="G338" s="13">
        <f>D338+F338</f>
        <v/>
      </c>
      <c r="H338" s="13">
        <f>E338+F338</f>
        <v/>
      </c>
      <c r="I338" s="13">
        <f>ABS(D338-E338)</f>
        <v/>
      </c>
      <c r="J338" s="13">
        <f>(D338-E338)^2</f>
        <v/>
      </c>
      <c r="K338" s="14">
        <f>IF(ABS(G338)&lt;=1E-8,"",ABS((G338-H338)/G338))</f>
        <v/>
      </c>
    </row>
    <row r="339">
      <c r="A339" s="11" t="n">
        <v>45716</v>
      </c>
      <c r="B339" s="12" t="inlineStr">
        <is>
          <t>CA</t>
        </is>
      </c>
      <c r="C339" s="12" t="inlineStr">
        <is>
          <t>LightGBM</t>
        </is>
      </c>
      <c r="D339" s="13" t="n">
        <v>-0.1000000000000005</v>
      </c>
      <c r="E339" s="13" t="n">
        <v>-0.0229170727378684</v>
      </c>
      <c r="F339" s="13" t="n">
        <v>6.7</v>
      </c>
      <c r="G339" s="13">
        <f>D339+F339</f>
        <v/>
      </c>
      <c r="H339" s="13">
        <f>E339+F339</f>
        <v/>
      </c>
      <c r="I339" s="13">
        <f>ABS(D339-E339)</f>
        <v/>
      </c>
      <c r="J339" s="13">
        <f>(D339-E339)^2</f>
        <v/>
      </c>
      <c r="K339" s="14">
        <f>IF(ABS(G339)&lt;=1E-8,"",ABS((G339-H339)/G339))</f>
        <v/>
      </c>
    </row>
    <row r="340">
      <c r="A340" s="11" t="n">
        <v>45716</v>
      </c>
      <c r="B340" s="12" t="inlineStr">
        <is>
          <t>DE</t>
        </is>
      </c>
      <c r="C340" s="12" t="inlineStr">
        <is>
          <t>LightGBM</t>
        </is>
      </c>
      <c r="D340" s="13" t="n">
        <v>0.1</v>
      </c>
      <c r="E340" s="13" t="n">
        <v>0.0306289164489007</v>
      </c>
      <c r="F340" s="13" t="n">
        <v>3.5</v>
      </c>
      <c r="G340" s="13">
        <f>D340+F340</f>
        <v/>
      </c>
      <c r="H340" s="13">
        <f>E340+F340</f>
        <v/>
      </c>
      <c r="I340" s="13">
        <f>ABS(D340-E340)</f>
        <v/>
      </c>
      <c r="J340" s="13">
        <f>(D340-E340)^2</f>
        <v/>
      </c>
      <c r="K340" s="14">
        <f>IF(ABS(G340)&lt;=1E-8,"",ABS((G340-H340)/G340))</f>
        <v/>
      </c>
    </row>
    <row r="341">
      <c r="A341" s="11" t="n">
        <v>45716</v>
      </c>
      <c r="B341" s="12" t="inlineStr">
        <is>
          <t>FR</t>
        </is>
      </c>
      <c r="C341" s="12" t="inlineStr">
        <is>
          <t>LightGBM</t>
        </is>
      </c>
      <c r="D341" s="13" t="n">
        <v>0.2000000000000001</v>
      </c>
      <c r="E341" s="13" t="n">
        <v>-0.0261950651572586</v>
      </c>
      <c r="F341" s="13" t="n">
        <v>7.3</v>
      </c>
      <c r="G341" s="13">
        <f>D341+F341</f>
        <v/>
      </c>
      <c r="H341" s="13">
        <f>E341+F341</f>
        <v/>
      </c>
      <c r="I341" s="13">
        <f>ABS(D341-E341)</f>
        <v/>
      </c>
      <c r="J341" s="13">
        <f>(D341-E341)^2</f>
        <v/>
      </c>
      <c r="K341" s="14">
        <f>IF(ABS(G341)&lt;=1E-8,"",ABS((G341-H341)/G341))</f>
        <v/>
      </c>
    </row>
    <row r="342">
      <c r="A342" s="11" t="n">
        <v>45716</v>
      </c>
      <c r="B342" s="12" t="inlineStr">
        <is>
          <t>GB</t>
        </is>
      </c>
      <c r="C342" s="12" t="inlineStr">
        <is>
          <t>LightGBM</t>
        </is>
      </c>
      <c r="D342" s="13" t="n">
        <v>0.0999999999999996</v>
      </c>
      <c r="E342" s="13" t="n">
        <v>-0.0022640534828136</v>
      </c>
      <c r="F342" s="13" t="n">
        <v>4.5</v>
      </c>
      <c r="G342" s="13">
        <f>D342+F342</f>
        <v/>
      </c>
      <c r="H342" s="13">
        <f>E342+F342</f>
        <v/>
      </c>
      <c r="I342" s="13">
        <f>ABS(D342-E342)</f>
        <v/>
      </c>
      <c r="J342" s="13">
        <f>(D342-E342)^2</f>
        <v/>
      </c>
      <c r="K342" s="14">
        <f>IF(ABS(G342)&lt;=1E-8,"",ABS((G342-H342)/G342))</f>
        <v/>
      </c>
    </row>
    <row r="343">
      <c r="A343" s="11" t="n">
        <v>45716</v>
      </c>
      <c r="B343" s="12" t="inlineStr">
        <is>
          <t>IT</t>
        </is>
      </c>
      <c r="C343" s="12" t="inlineStr">
        <is>
          <t>LightGBM</t>
        </is>
      </c>
      <c r="D343" s="13" t="n">
        <v>-0.4000000000000003</v>
      </c>
      <c r="E343" s="13" t="n">
        <v>-0.0135512422792064</v>
      </c>
      <c r="F343" s="13" t="n">
        <v>6.5</v>
      </c>
      <c r="G343" s="13">
        <f>D343+F343</f>
        <v/>
      </c>
      <c r="H343" s="13">
        <f>E343+F343</f>
        <v/>
      </c>
      <c r="I343" s="13">
        <f>ABS(D343-E343)</f>
        <v/>
      </c>
      <c r="J343" s="13">
        <f>(D343-E343)^2</f>
        <v/>
      </c>
      <c r="K343" s="14">
        <f>IF(ABS(G343)&lt;=1E-8,"",ABS((G343-H343)/G343))</f>
        <v/>
      </c>
    </row>
    <row r="344">
      <c r="A344" s="11" t="n">
        <v>45716</v>
      </c>
      <c r="B344" s="12" t="inlineStr">
        <is>
          <t>JP</t>
        </is>
      </c>
      <c r="C344" s="12" t="inlineStr">
        <is>
          <t>LightGBM</t>
        </is>
      </c>
      <c r="D344" s="13" t="n">
        <v>-0.1</v>
      </c>
      <c r="E344" s="13" t="n">
        <v>0.0203350477398422</v>
      </c>
      <c r="F344" s="13" t="n">
        <v>2.5</v>
      </c>
      <c r="G344" s="13">
        <f>D344+F344</f>
        <v/>
      </c>
      <c r="H344" s="13">
        <f>E344+F344</f>
        <v/>
      </c>
      <c r="I344" s="13">
        <f>ABS(D344-E344)</f>
        <v/>
      </c>
      <c r="J344" s="13">
        <f>(D344-E344)^2</f>
        <v/>
      </c>
      <c r="K344" s="14">
        <f>IF(ABS(G344)&lt;=1E-8,"",ABS((G344-H344)/G344))</f>
        <v/>
      </c>
    </row>
    <row r="345">
      <c r="A345" s="11" t="n">
        <v>45716</v>
      </c>
      <c r="B345" s="12" t="inlineStr">
        <is>
          <t>KR</t>
        </is>
      </c>
      <c r="C345" s="12" t="inlineStr">
        <is>
          <t>LightGBM</t>
        </is>
      </c>
      <c r="D345" s="13" t="n">
        <v>0</v>
      </c>
      <c r="E345" s="13" t="n">
        <v>0.0274434364273491</v>
      </c>
      <c r="F345" s="13" t="n">
        <v>2.8</v>
      </c>
      <c r="G345" s="13">
        <f>D345+F345</f>
        <v/>
      </c>
      <c r="H345" s="13">
        <f>E345+F345</f>
        <v/>
      </c>
      <c r="I345" s="13">
        <f>ABS(D345-E345)</f>
        <v/>
      </c>
      <c r="J345" s="13">
        <f>(D345-E345)^2</f>
        <v/>
      </c>
      <c r="K345" s="14">
        <f>IF(ABS(G345)&lt;=1E-8,"",ABS((G345-H345)/G345))</f>
        <v/>
      </c>
    </row>
    <row r="346">
      <c r="A346" s="11" t="n">
        <v>45716</v>
      </c>
      <c r="B346" s="12" t="inlineStr">
        <is>
          <t>US</t>
        </is>
      </c>
      <c r="C346" s="12" t="inlineStr">
        <is>
          <t>LightGBM</t>
        </is>
      </c>
      <c r="D346" s="13" t="n">
        <v>0.2000000000000001</v>
      </c>
      <c r="E346" s="13" t="n">
        <v>-0.0153022750773085</v>
      </c>
      <c r="F346" s="13" t="n">
        <v>4</v>
      </c>
      <c r="G346" s="13">
        <f>D346+F346</f>
        <v/>
      </c>
      <c r="H346" s="13">
        <f>E346+F346</f>
        <v/>
      </c>
      <c r="I346" s="13">
        <f>ABS(D346-E346)</f>
        <v/>
      </c>
      <c r="J346" s="13">
        <f>(D346-E346)^2</f>
        <v/>
      </c>
      <c r="K346" s="14">
        <f>IF(ABS(G346)&lt;=1E-8,"",ABS((G346-H346)/G346))</f>
        <v/>
      </c>
    </row>
    <row r="347">
      <c r="A347" s="11" t="n">
        <v>45747</v>
      </c>
      <c r="B347" s="12" t="inlineStr">
        <is>
          <t>AU</t>
        </is>
      </c>
      <c r="C347" s="12" t="inlineStr">
        <is>
          <t>LightGBM</t>
        </is>
      </c>
      <c r="D347" s="13" t="n">
        <v>0.0085119999999996</v>
      </c>
      <c r="E347" s="13" t="n">
        <v>0.0276920410285091</v>
      </c>
      <c r="F347" s="13" t="n">
        <v>4.074125</v>
      </c>
      <c r="G347" s="13">
        <f>D347+F347</f>
        <v/>
      </c>
      <c r="H347" s="13">
        <f>E347+F347</f>
        <v/>
      </c>
      <c r="I347" s="13">
        <f>ABS(D347-E347)</f>
        <v/>
      </c>
      <c r="J347" s="13">
        <f>(D347-E347)^2</f>
        <v/>
      </c>
      <c r="K347" s="14">
        <f>IF(ABS(G347)&lt;=1E-8,"",ABS((G347-H347)/G347))</f>
        <v/>
      </c>
    </row>
    <row r="348">
      <c r="A348" s="11" t="n">
        <v>45747</v>
      </c>
      <c r="B348" s="12" t="inlineStr">
        <is>
          <t>CA</t>
        </is>
      </c>
      <c r="C348" s="12" t="inlineStr">
        <is>
          <t>LightGBM</t>
        </is>
      </c>
      <c r="D348" s="13" t="n">
        <v>0.2000000000000001</v>
      </c>
      <c r="E348" s="13" t="n">
        <v>-0.0223539600257656</v>
      </c>
      <c r="F348" s="13" t="n">
        <v>6.6</v>
      </c>
      <c r="G348" s="13">
        <f>D348+F348</f>
        <v/>
      </c>
      <c r="H348" s="13">
        <f>E348+F348</f>
        <v/>
      </c>
      <c r="I348" s="13">
        <f>ABS(D348-E348)</f>
        <v/>
      </c>
      <c r="J348" s="13">
        <f>(D348-E348)^2</f>
        <v/>
      </c>
      <c r="K348" s="14">
        <f>IF(ABS(G348)&lt;=1E-8,"",ABS((G348-H348)/G348))</f>
        <v/>
      </c>
    </row>
    <row r="349">
      <c r="A349" s="11" t="n">
        <v>45747</v>
      </c>
      <c r="B349" s="12" t="inlineStr">
        <is>
          <t>DE</t>
        </is>
      </c>
      <c r="C349" s="12" t="inlineStr">
        <is>
          <t>LightGBM</t>
        </is>
      </c>
      <c r="D349" s="13" t="n">
        <v>0</v>
      </c>
      <c r="E349" s="13" t="n">
        <v>0.0303923148120008</v>
      </c>
      <c r="F349" s="13" t="n">
        <v>3.6</v>
      </c>
      <c r="G349" s="13">
        <f>D349+F349</f>
        <v/>
      </c>
      <c r="H349" s="13">
        <f>E349+F349</f>
        <v/>
      </c>
      <c r="I349" s="13">
        <f>ABS(D349-E349)</f>
        <v/>
      </c>
      <c r="J349" s="13">
        <f>(D349-E349)^2</f>
        <v/>
      </c>
      <c r="K349" s="14">
        <f>IF(ABS(G349)&lt;=1E-8,"",ABS((G349-H349)/G349))</f>
        <v/>
      </c>
    </row>
    <row r="350">
      <c r="A350" s="11" t="n">
        <v>45747</v>
      </c>
      <c r="B350" s="12" t="inlineStr">
        <is>
          <t>FR</t>
        </is>
      </c>
      <c r="C350" s="12" t="inlineStr">
        <is>
          <t>LightGBM</t>
        </is>
      </c>
      <c r="D350" s="13" t="n">
        <v>0.0999999999999996</v>
      </c>
      <c r="E350" s="13" t="n">
        <v>-0.0209209166906796</v>
      </c>
      <c r="F350" s="13" t="n">
        <v>7.5</v>
      </c>
      <c r="G350" s="13">
        <f>D350+F350</f>
        <v/>
      </c>
      <c r="H350" s="13">
        <f>E350+F350</f>
        <v/>
      </c>
      <c r="I350" s="13">
        <f>ABS(D350-E350)</f>
        <v/>
      </c>
      <c r="J350" s="13">
        <f>(D350-E350)^2</f>
        <v/>
      </c>
      <c r="K350" s="14">
        <f>IF(ABS(G350)&lt;=1E-8,"",ABS((G350-H350)/G350))</f>
        <v/>
      </c>
    </row>
    <row r="351">
      <c r="A351" s="11" t="n">
        <v>45747</v>
      </c>
      <c r="B351" s="12" t="inlineStr">
        <is>
          <t>GB</t>
        </is>
      </c>
      <c r="C351" s="12" t="inlineStr">
        <is>
          <t>LightGBM</t>
        </is>
      </c>
      <c r="D351" s="13" t="n">
        <v>0</v>
      </c>
      <c r="E351" s="13" t="n">
        <v>-0.0046852821928201</v>
      </c>
      <c r="F351" s="13" t="n">
        <v>4.6</v>
      </c>
      <c r="G351" s="13">
        <f>D351+F351</f>
        <v/>
      </c>
      <c r="H351" s="13">
        <f>E351+F351</f>
        <v/>
      </c>
      <c r="I351" s="13">
        <f>ABS(D351-E351)</f>
        <v/>
      </c>
      <c r="J351" s="13">
        <f>(D351-E351)^2</f>
        <v/>
      </c>
      <c r="K351" s="14">
        <f>IF(ABS(G351)&lt;=1E-8,"",ABS((G351-H351)/G351))</f>
        <v/>
      </c>
    </row>
    <row r="352">
      <c r="A352" s="11" t="n">
        <v>45747</v>
      </c>
      <c r="B352" s="12" t="inlineStr">
        <is>
          <t>IT</t>
        </is>
      </c>
      <c r="C352" s="12" t="inlineStr">
        <is>
          <t>LightGBM</t>
        </is>
      </c>
      <c r="D352" s="13" t="n">
        <v>0.2000000000000001</v>
      </c>
      <c r="E352" s="13" t="n">
        <v>0.0216607763336391</v>
      </c>
      <c r="F352" s="13" t="n">
        <v>6.1</v>
      </c>
      <c r="G352" s="13">
        <f>D352+F352</f>
        <v/>
      </c>
      <c r="H352" s="13">
        <f>E352+F352</f>
        <v/>
      </c>
      <c r="I352" s="13">
        <f>ABS(D352-E352)</f>
        <v/>
      </c>
      <c r="J352" s="13">
        <f>(D352-E352)^2</f>
        <v/>
      </c>
      <c r="K352" s="14">
        <f>IF(ABS(G352)&lt;=1E-8,"",ABS((G352-H352)/G352))</f>
        <v/>
      </c>
    </row>
    <row r="353">
      <c r="A353" s="11" t="n">
        <v>45747</v>
      </c>
      <c r="B353" s="12" t="inlineStr">
        <is>
          <t>JP</t>
        </is>
      </c>
      <c r="C353" s="12" t="inlineStr">
        <is>
          <t>LightGBM</t>
        </is>
      </c>
      <c r="D353" s="13" t="n">
        <v>0.1</v>
      </c>
      <c r="E353" s="13" t="n">
        <v>0.0457774964412495</v>
      </c>
      <c r="F353" s="13" t="n">
        <v>2.4</v>
      </c>
      <c r="G353" s="13">
        <f>D353+F353</f>
        <v/>
      </c>
      <c r="H353" s="13">
        <f>E353+F353</f>
        <v/>
      </c>
      <c r="I353" s="13">
        <f>ABS(D353-E353)</f>
        <v/>
      </c>
      <c r="J353" s="13">
        <f>(D353-E353)^2</f>
        <v/>
      </c>
      <c r="K353" s="14">
        <f>IF(ABS(G353)&lt;=1E-8,"",ABS((G353-H353)/G353))</f>
        <v/>
      </c>
    </row>
    <row r="354">
      <c r="A354" s="11" t="n">
        <v>45747</v>
      </c>
      <c r="B354" s="12" t="inlineStr">
        <is>
          <t>KR</t>
        </is>
      </c>
      <c r="C354" s="12" t="inlineStr">
        <is>
          <t>LightGBM</t>
        </is>
      </c>
      <c r="D354" s="13" t="n">
        <v>0</v>
      </c>
      <c r="E354" s="13" t="n">
        <v>0.0072182685832729</v>
      </c>
      <c r="F354" s="13" t="n">
        <v>2.8</v>
      </c>
      <c r="G354" s="13">
        <f>D354+F354</f>
        <v/>
      </c>
      <c r="H354" s="13">
        <f>E354+F354</f>
        <v/>
      </c>
      <c r="I354" s="13">
        <f>ABS(D354-E354)</f>
        <v/>
      </c>
      <c r="J354" s="13">
        <f>(D354-E354)^2</f>
        <v/>
      </c>
      <c r="K354" s="14">
        <f>IF(ABS(G354)&lt;=1E-8,"",ABS((G354-H354)/G354))</f>
        <v/>
      </c>
    </row>
    <row r="355">
      <c r="A355" s="11" t="n">
        <v>45747</v>
      </c>
      <c r="B355" s="12" t="inlineStr">
        <is>
          <t>US</t>
        </is>
      </c>
      <c r="C355" s="12" t="inlineStr">
        <is>
          <t>LightGBM</t>
        </is>
      </c>
      <c r="D355" s="13" t="n">
        <v>0</v>
      </c>
      <c r="E355" s="13" t="n">
        <v>-0.0104038858423815</v>
      </c>
      <c r="F355" s="13" t="n">
        <v>4.2</v>
      </c>
      <c r="G355" s="13">
        <f>D355+F355</f>
        <v/>
      </c>
      <c r="H355" s="13">
        <f>E355+F355</f>
        <v/>
      </c>
      <c r="I355" s="13">
        <f>ABS(D355-E355)</f>
        <v/>
      </c>
      <c r="J355" s="13">
        <f>(D355-E355)^2</f>
        <v/>
      </c>
      <c r="K355" s="14">
        <f>IF(ABS(G355)&lt;=1E-8,"",ABS((G355-H355)/G355))</f>
        <v/>
      </c>
    </row>
    <row r="356">
      <c r="A356" s="11" t="n">
        <v>45777</v>
      </c>
      <c r="B356" s="12" t="inlineStr">
        <is>
          <t>AU</t>
        </is>
      </c>
      <c r="C356" s="12" t="inlineStr">
        <is>
          <t>LightGBM</t>
        </is>
      </c>
      <c r="D356" s="13" t="n">
        <v>-0.0279340000000001</v>
      </c>
      <c r="E356" s="13" t="n">
        <v>0.0016176190655946</v>
      </c>
      <c r="F356" s="13" t="n">
        <v>4.082637</v>
      </c>
      <c r="G356" s="13">
        <f>D356+F356</f>
        <v/>
      </c>
      <c r="H356" s="13">
        <f>E356+F356</f>
        <v/>
      </c>
      <c r="I356" s="13">
        <f>ABS(D356-E356)</f>
        <v/>
      </c>
      <c r="J356" s="13">
        <f>(D356-E356)^2</f>
        <v/>
      </c>
      <c r="K356" s="14">
        <f>IF(ABS(G356)&lt;=1E-8,"",ABS((G356-H356)/G356))</f>
        <v/>
      </c>
    </row>
    <row r="357">
      <c r="A357" s="11" t="n">
        <v>45777</v>
      </c>
      <c r="B357" s="12" t="inlineStr">
        <is>
          <t>CA</t>
        </is>
      </c>
      <c r="C357" s="12" t="inlineStr">
        <is>
          <t>LightGBM</t>
        </is>
      </c>
      <c r="D357" s="13" t="n">
        <v>0.1000000000000005</v>
      </c>
      <c r="E357" s="13" t="n">
        <v>-0.0159857307612245</v>
      </c>
      <c r="F357" s="13" t="n">
        <v>6.8</v>
      </c>
      <c r="G357" s="13">
        <f>D357+F357</f>
        <v/>
      </c>
      <c r="H357" s="13">
        <f>E357+F357</f>
        <v/>
      </c>
      <c r="I357" s="13">
        <f>ABS(D357-E357)</f>
        <v/>
      </c>
      <c r="J357" s="13">
        <f>(D357-E357)^2</f>
        <v/>
      </c>
      <c r="K357" s="14">
        <f>IF(ABS(G357)&lt;=1E-8,"",ABS((G357-H357)/G357))</f>
        <v/>
      </c>
    </row>
    <row r="358">
      <c r="A358" s="11" t="n">
        <v>45777</v>
      </c>
      <c r="B358" s="12" t="inlineStr">
        <is>
          <t>DE</t>
        </is>
      </c>
      <c r="C358" s="12" t="inlineStr">
        <is>
          <t>LightGBM</t>
        </is>
      </c>
      <c r="D358" s="13" t="n">
        <v>0.1</v>
      </c>
      <c r="E358" s="13" t="n">
        <v>-0.009229360405235599</v>
      </c>
      <c r="F358" s="13" t="n">
        <v>3.6</v>
      </c>
      <c r="G358" s="13">
        <f>D358+F358</f>
        <v/>
      </c>
      <c r="H358" s="13">
        <f>E358+F358</f>
        <v/>
      </c>
      <c r="I358" s="13">
        <f>ABS(D358-E358)</f>
        <v/>
      </c>
      <c r="J358" s="13">
        <f>(D358-E358)^2</f>
        <v/>
      </c>
      <c r="K358" s="14">
        <f>IF(ABS(G358)&lt;=1E-8,"",ABS((G358-H358)/G358))</f>
        <v/>
      </c>
    </row>
    <row r="359">
      <c r="A359" s="11" t="n">
        <v>45777</v>
      </c>
      <c r="B359" s="12" t="inlineStr">
        <is>
          <t>FR</t>
        </is>
      </c>
      <c r="C359" s="12" t="inlineStr">
        <is>
          <t>LightGBM</t>
        </is>
      </c>
      <c r="D359" s="13" t="n">
        <v>-0.0999999999999996</v>
      </c>
      <c r="E359" s="13" t="n">
        <v>-0.0346613395120967</v>
      </c>
      <c r="F359" s="13" t="n">
        <v>7.6</v>
      </c>
      <c r="G359" s="13">
        <f>D359+F359</f>
        <v/>
      </c>
      <c r="H359" s="13">
        <f>E359+F359</f>
        <v/>
      </c>
      <c r="I359" s="13">
        <f>ABS(D359-E359)</f>
        <v/>
      </c>
      <c r="J359" s="13">
        <f>(D359-E359)^2</f>
        <v/>
      </c>
      <c r="K359" s="14">
        <f>IF(ABS(G359)&lt;=1E-8,"",ABS((G359-H359)/G359))</f>
        <v/>
      </c>
    </row>
    <row r="360">
      <c r="A360" s="11" t="n">
        <v>45777</v>
      </c>
      <c r="B360" s="12" t="inlineStr">
        <is>
          <t>GB</t>
        </is>
      </c>
      <c r="C360" s="12" t="inlineStr">
        <is>
          <t>LightGBM</t>
        </is>
      </c>
      <c r="D360" s="13" t="n">
        <v>0.1000000000000005</v>
      </c>
      <c r="E360" s="13" t="n">
        <v>0.0212132858397342</v>
      </c>
      <c r="F360" s="13" t="n">
        <v>4.6</v>
      </c>
      <c r="G360" s="13">
        <f>D360+F360</f>
        <v/>
      </c>
      <c r="H360" s="13">
        <f>E360+F360</f>
        <v/>
      </c>
      <c r="I360" s="13">
        <f>ABS(D360-E360)</f>
        <v/>
      </c>
      <c r="J360" s="13">
        <f>(D360-E360)^2</f>
        <v/>
      </c>
      <c r="K360" s="14">
        <f>IF(ABS(G360)&lt;=1E-8,"",ABS((G360-H360)/G360))</f>
        <v/>
      </c>
    </row>
    <row r="361">
      <c r="A361" s="11" t="n">
        <v>45777</v>
      </c>
      <c r="B361" s="12" t="inlineStr">
        <is>
          <t>IT</t>
        </is>
      </c>
      <c r="C361" s="12" t="inlineStr">
        <is>
          <t>LightGBM</t>
        </is>
      </c>
      <c r="D361" s="13" t="n">
        <v>-0.0999999999999996</v>
      </c>
      <c r="E361" s="13" t="n">
        <v>0.0067674806592908</v>
      </c>
      <c r="F361" s="13" t="n">
        <v>6.3</v>
      </c>
      <c r="G361" s="13">
        <f>D361+F361</f>
        <v/>
      </c>
      <c r="H361" s="13">
        <f>E361+F361</f>
        <v/>
      </c>
      <c r="I361" s="13">
        <f>ABS(D361-E361)</f>
        <v/>
      </c>
      <c r="J361" s="13">
        <f>(D361-E361)^2</f>
        <v/>
      </c>
      <c r="K361" s="14">
        <f>IF(ABS(G361)&lt;=1E-8,"",ABS((G361-H361)/G361))</f>
        <v/>
      </c>
    </row>
    <row r="362">
      <c r="A362" s="11" t="n">
        <v>45777</v>
      </c>
      <c r="B362" s="12" t="inlineStr">
        <is>
          <t>JP</t>
        </is>
      </c>
      <c r="C362" s="12" t="inlineStr">
        <is>
          <t>LightGBM</t>
        </is>
      </c>
      <c r="D362" s="13" t="n">
        <v>0</v>
      </c>
      <c r="E362" s="13" t="n">
        <v>0.0431546177863786</v>
      </c>
      <c r="F362" s="13" t="n">
        <v>2.5</v>
      </c>
      <c r="G362" s="13">
        <f>D362+F362</f>
        <v/>
      </c>
      <c r="H362" s="13">
        <f>E362+F362</f>
        <v/>
      </c>
      <c r="I362" s="13">
        <f>ABS(D362-E362)</f>
        <v/>
      </c>
      <c r="J362" s="13">
        <f>(D362-E362)^2</f>
        <v/>
      </c>
      <c r="K362" s="14">
        <f>IF(ABS(G362)&lt;=1E-8,"",ABS((G362-H362)/G362))</f>
        <v/>
      </c>
    </row>
    <row r="363">
      <c r="A363" s="11" t="n">
        <v>45777</v>
      </c>
      <c r="B363" s="12" t="inlineStr">
        <is>
          <t>KR</t>
        </is>
      </c>
      <c r="C363" s="12" t="inlineStr">
        <is>
          <t>LightGBM</t>
        </is>
      </c>
      <c r="D363" s="13" t="n">
        <v>-0.0999999999999996</v>
      </c>
      <c r="E363" s="13" t="n">
        <v>0.0223305718883973</v>
      </c>
      <c r="F363" s="13" t="n">
        <v>2.8</v>
      </c>
      <c r="G363" s="13">
        <f>D363+F363</f>
        <v/>
      </c>
      <c r="H363" s="13">
        <f>E363+F363</f>
        <v/>
      </c>
      <c r="I363" s="13">
        <f>ABS(D363-E363)</f>
        <v/>
      </c>
      <c r="J363" s="13">
        <f>(D363-E363)^2</f>
        <v/>
      </c>
      <c r="K363" s="14">
        <f>IF(ABS(G363)&lt;=1E-8,"",ABS((G363-H363)/G363))</f>
        <v/>
      </c>
    </row>
    <row r="364">
      <c r="A364" s="11" t="n">
        <v>45777</v>
      </c>
      <c r="B364" s="12" t="inlineStr">
        <is>
          <t>US</t>
        </is>
      </c>
      <c r="C364" s="12" t="inlineStr">
        <is>
          <t>LightGBM</t>
        </is>
      </c>
      <c r="D364" s="13" t="n">
        <v>0</v>
      </c>
      <c r="E364" s="13" t="n">
        <v>-0.008331911226638801</v>
      </c>
      <c r="F364" s="13" t="n">
        <v>4.2</v>
      </c>
      <c r="G364" s="13">
        <f>D364+F364</f>
        <v/>
      </c>
      <c r="H364" s="13">
        <f>E364+F364</f>
        <v/>
      </c>
      <c r="I364" s="13">
        <f>ABS(D364-E364)</f>
        <v/>
      </c>
      <c r="J364" s="13">
        <f>(D364-E364)^2</f>
        <v/>
      </c>
      <c r="K364" s="14">
        <f>IF(ABS(G364)&lt;=1E-8,"",ABS((G364-H364)/G364))</f>
        <v/>
      </c>
    </row>
    <row r="365">
      <c r="A365" s="11" t="n">
        <v>45808</v>
      </c>
      <c r="B365" s="12" t="inlineStr">
        <is>
          <t>AU</t>
        </is>
      </c>
      <c r="C365" s="12" t="inlineStr">
        <is>
          <t>LightGBM</t>
        </is>
      </c>
      <c r="D365" s="13" t="n">
        <v>0.0466550000000003</v>
      </c>
      <c r="E365" s="13" t="n">
        <v>-0.0081113190473487</v>
      </c>
      <c r="F365" s="13" t="n">
        <v>4.054703</v>
      </c>
      <c r="G365" s="13">
        <f>D365+F365</f>
        <v/>
      </c>
      <c r="H365" s="13">
        <f>E365+F365</f>
        <v/>
      </c>
      <c r="I365" s="13">
        <f>ABS(D365-E365)</f>
        <v/>
      </c>
      <c r="J365" s="13">
        <f>(D365-E365)^2</f>
        <v/>
      </c>
      <c r="K365" s="14">
        <f>IF(ABS(G365)&lt;=1E-8,"",ABS((G365-H365)/G365))</f>
        <v/>
      </c>
    </row>
    <row r="366">
      <c r="A366" s="11" t="n">
        <v>45808</v>
      </c>
      <c r="B366" s="12" t="inlineStr">
        <is>
          <t>CA</t>
        </is>
      </c>
      <c r="C366" s="12" t="inlineStr">
        <is>
          <t>LightGBM</t>
        </is>
      </c>
      <c r="D366" s="13" t="n">
        <v>0.0999999999999996</v>
      </c>
      <c r="E366" s="13" t="n">
        <v>-0.0343161066378122</v>
      </c>
      <c r="F366" s="13" t="n">
        <v>6.9</v>
      </c>
      <c r="G366" s="13">
        <f>D366+F366</f>
        <v/>
      </c>
      <c r="H366" s="13">
        <f>E366+F366</f>
        <v/>
      </c>
      <c r="I366" s="13">
        <f>ABS(D366-E366)</f>
        <v/>
      </c>
      <c r="J366" s="13">
        <f>(D366-E366)^2</f>
        <v/>
      </c>
      <c r="K366" s="14">
        <f>IF(ABS(G366)&lt;=1E-8,"",ABS((G366-H366)/G366))</f>
        <v/>
      </c>
    </row>
    <row r="367">
      <c r="A367" s="11" t="n">
        <v>45808</v>
      </c>
      <c r="B367" s="12" t="inlineStr">
        <is>
          <t>DE</t>
        </is>
      </c>
      <c r="C367" s="12" t="inlineStr">
        <is>
          <t>LightGBM</t>
        </is>
      </c>
      <c r="D367" s="13" t="n">
        <v>0</v>
      </c>
      <c r="E367" s="13" t="n">
        <v>0.0512672104317978</v>
      </c>
      <c r="F367" s="13" t="n">
        <v>3.7</v>
      </c>
      <c r="G367" s="13">
        <f>D367+F367</f>
        <v/>
      </c>
      <c r="H367" s="13">
        <f>E367+F367</f>
        <v/>
      </c>
      <c r="I367" s="13">
        <f>ABS(D367-E367)</f>
        <v/>
      </c>
      <c r="J367" s="13">
        <f>(D367-E367)^2</f>
        <v/>
      </c>
      <c r="K367" s="14">
        <f>IF(ABS(G367)&lt;=1E-8,"",ABS((G367-H367)/G367))</f>
        <v/>
      </c>
    </row>
    <row r="368">
      <c r="A368" s="11" t="n">
        <v>45808</v>
      </c>
      <c r="B368" s="12" t="inlineStr">
        <is>
          <t>FR</t>
        </is>
      </c>
      <c r="C368" s="12" t="inlineStr">
        <is>
          <t>LightGBM</t>
        </is>
      </c>
      <c r="D368" s="13" t="n">
        <v>0.0999999999999996</v>
      </c>
      <c r="E368" s="13" t="n">
        <v>-0.025487286949557</v>
      </c>
      <c r="F368" s="13" t="n">
        <v>7.5</v>
      </c>
      <c r="G368" s="13">
        <f>D368+F368</f>
        <v/>
      </c>
      <c r="H368" s="13">
        <f>E368+F368</f>
        <v/>
      </c>
      <c r="I368" s="13">
        <f>ABS(D368-E368)</f>
        <v/>
      </c>
      <c r="J368" s="13">
        <f>(D368-E368)^2</f>
        <v/>
      </c>
      <c r="K368" s="14">
        <f>IF(ABS(G368)&lt;=1E-8,"",ABS((G368-H368)/G368))</f>
        <v/>
      </c>
    </row>
    <row r="369">
      <c r="A369" s="11" t="n">
        <v>45808</v>
      </c>
      <c r="B369" s="12" t="inlineStr">
        <is>
          <t>GB</t>
        </is>
      </c>
      <c r="C369" s="12" t="inlineStr">
        <is>
          <t>LightGBM</t>
        </is>
      </c>
      <c r="D369" s="13" t="n">
        <v>0</v>
      </c>
      <c r="E369" s="13" t="n">
        <v>0.0171541330545884</v>
      </c>
      <c r="F369" s="13" t="n">
        <v>4.7</v>
      </c>
      <c r="G369" s="13">
        <f>D369+F369</f>
        <v/>
      </c>
      <c r="H369" s="13">
        <f>E369+F369</f>
        <v/>
      </c>
      <c r="I369" s="13">
        <f>ABS(D369-E369)</f>
        <v/>
      </c>
      <c r="J369" s="13">
        <f>(D369-E369)^2</f>
        <v/>
      </c>
      <c r="K369" s="14">
        <f>IF(ABS(G369)&lt;=1E-8,"",ABS((G369-H369)/G369))</f>
        <v/>
      </c>
    </row>
    <row r="370">
      <c r="A370" s="11" t="n">
        <v>45808</v>
      </c>
      <c r="B370" s="12" t="inlineStr">
        <is>
          <t>IT</t>
        </is>
      </c>
      <c r="C370" s="12" t="inlineStr">
        <is>
          <t>LightGBM</t>
        </is>
      </c>
      <c r="D370" s="13" t="n">
        <v>0.2000000000000001</v>
      </c>
      <c r="E370" s="13" t="n">
        <v>0.0034737705083868</v>
      </c>
      <c r="F370" s="13" t="n">
        <v>6.2</v>
      </c>
      <c r="G370" s="13">
        <f>D370+F370</f>
        <v/>
      </c>
      <c r="H370" s="13">
        <f>E370+F370</f>
        <v/>
      </c>
      <c r="I370" s="13">
        <f>ABS(D370-E370)</f>
        <v/>
      </c>
      <c r="J370" s="13">
        <f>(D370-E370)^2</f>
        <v/>
      </c>
      <c r="K370" s="14">
        <f>IF(ABS(G370)&lt;=1E-8,"",ABS((G370-H370)/G370))</f>
        <v/>
      </c>
    </row>
    <row r="371">
      <c r="A371" s="11" t="n">
        <v>45808</v>
      </c>
      <c r="B371" s="12" t="inlineStr">
        <is>
          <t>JP</t>
        </is>
      </c>
      <c r="C371" s="12" t="inlineStr">
        <is>
          <t>LightGBM</t>
        </is>
      </c>
      <c r="D371" s="13" t="n">
        <v>0</v>
      </c>
      <c r="E371" s="13" t="n">
        <v>0.0334817532349686</v>
      </c>
      <c r="F371" s="13" t="n">
        <v>2.5</v>
      </c>
      <c r="G371" s="13">
        <f>D371+F371</f>
        <v/>
      </c>
      <c r="H371" s="13">
        <f>E371+F371</f>
        <v/>
      </c>
      <c r="I371" s="13">
        <f>ABS(D371-E371)</f>
        <v/>
      </c>
      <c r="J371" s="13">
        <f>(D371-E371)^2</f>
        <v/>
      </c>
      <c r="K371" s="14">
        <f>IF(ABS(G371)&lt;=1E-8,"",ABS((G371-H371)/G371))</f>
        <v/>
      </c>
    </row>
    <row r="372">
      <c r="A372" s="11" t="n">
        <v>45808</v>
      </c>
      <c r="B372" s="12" t="inlineStr">
        <is>
          <t>KR</t>
        </is>
      </c>
      <c r="C372" s="12" t="inlineStr">
        <is>
          <t>LightGBM</t>
        </is>
      </c>
      <c r="D372" s="13" t="n">
        <v>0</v>
      </c>
      <c r="E372" s="13" t="n">
        <v>0.0121951151887938</v>
      </c>
      <c r="F372" s="13" t="n">
        <v>2.7</v>
      </c>
      <c r="G372" s="13">
        <f>D372+F372</f>
        <v/>
      </c>
      <c r="H372" s="13">
        <f>E372+F372</f>
        <v/>
      </c>
      <c r="I372" s="13">
        <f>ABS(D372-E372)</f>
        <v/>
      </c>
      <c r="J372" s="13">
        <f>(D372-E372)^2</f>
        <v/>
      </c>
      <c r="K372" s="14">
        <f>IF(ABS(G372)&lt;=1E-8,"",ABS((G372-H372)/G372))</f>
        <v/>
      </c>
    </row>
    <row r="373">
      <c r="A373" s="11" t="n">
        <v>45808</v>
      </c>
      <c r="B373" s="12" t="inlineStr">
        <is>
          <t>US</t>
        </is>
      </c>
      <c r="C373" s="12" t="inlineStr">
        <is>
          <t>LightGBM</t>
        </is>
      </c>
      <c r="D373" s="13" t="n">
        <v>0.0999999999999996</v>
      </c>
      <c r="E373" s="13" t="n">
        <v>0.009835553399548599</v>
      </c>
      <c r="F373" s="13" t="n">
        <v>4.2</v>
      </c>
      <c r="G373" s="13">
        <f>D373+F373</f>
        <v/>
      </c>
      <c r="H373" s="13">
        <f>E373+F373</f>
        <v/>
      </c>
      <c r="I373" s="13">
        <f>ABS(D373-E373)</f>
        <v/>
      </c>
      <c r="J373" s="13">
        <f>(D373-E373)^2</f>
        <v/>
      </c>
      <c r="K373" s="14">
        <f>IF(ABS(G373)&lt;=1E-8,"",ABS((G373-H373)/G373))</f>
        <v/>
      </c>
    </row>
    <row r="374">
      <c r="A374" s="11" t="n">
        <v>45838</v>
      </c>
      <c r="B374" s="12" t="inlineStr">
        <is>
          <t>AU</t>
        </is>
      </c>
      <c r="C374" s="12" t="inlineStr">
        <is>
          <t>LightGBM</t>
        </is>
      </c>
      <c r="D374" s="13" t="n">
        <v>0.2165059999999998</v>
      </c>
      <c r="E374" s="13" t="n">
        <v>-0.008833414041054199</v>
      </c>
      <c r="F374" s="13" t="n">
        <v>4.101358</v>
      </c>
      <c r="G374" s="13">
        <f>D374+F374</f>
        <v/>
      </c>
      <c r="H374" s="13">
        <f>E374+F374</f>
        <v/>
      </c>
      <c r="I374" s="13">
        <f>ABS(D374-E374)</f>
        <v/>
      </c>
      <c r="J374" s="13">
        <f>(D374-E374)^2</f>
        <v/>
      </c>
      <c r="K374" s="14">
        <f>IF(ABS(G374)&lt;=1E-8,"",ABS((G374-H374)/G374))</f>
        <v/>
      </c>
    </row>
    <row r="375">
      <c r="A375" s="11" t="n">
        <v>45838</v>
      </c>
      <c r="B375" s="12" t="inlineStr">
        <is>
          <t>CA</t>
        </is>
      </c>
      <c r="C375" s="12" t="inlineStr">
        <is>
          <t>LightGBM</t>
        </is>
      </c>
      <c r="D375" s="13" t="n">
        <v>-0.0999999999999996</v>
      </c>
      <c r="E375" s="13" t="n">
        <v>-0.0113812812635462</v>
      </c>
      <c r="F375" s="13" t="n">
        <v>7</v>
      </c>
      <c r="G375" s="13">
        <f>D375+F375</f>
        <v/>
      </c>
      <c r="H375" s="13">
        <f>E375+F375</f>
        <v/>
      </c>
      <c r="I375" s="13">
        <f>ABS(D375-E375)</f>
        <v/>
      </c>
      <c r="J375" s="13">
        <f>(D375-E375)^2</f>
        <v/>
      </c>
      <c r="K375" s="14">
        <f>IF(ABS(G375)&lt;=1E-8,"",ABS((G375-H375)/G375))</f>
        <v/>
      </c>
    </row>
    <row r="376">
      <c r="A376" s="11" t="n">
        <v>45838</v>
      </c>
      <c r="B376" s="12" t="inlineStr">
        <is>
          <t>DE</t>
        </is>
      </c>
      <c r="C376" s="12" t="inlineStr">
        <is>
          <t>LightGBM</t>
        </is>
      </c>
      <c r="D376" s="13" t="n">
        <v>0</v>
      </c>
      <c r="E376" s="13" t="n">
        <v>0.009834656019313499</v>
      </c>
      <c r="F376" s="13" t="n">
        <v>3.7</v>
      </c>
      <c r="G376" s="13">
        <f>D376+F376</f>
        <v/>
      </c>
      <c r="H376" s="13">
        <f>E376+F376</f>
        <v/>
      </c>
      <c r="I376" s="13">
        <f>ABS(D376-E376)</f>
        <v/>
      </c>
      <c r="J376" s="13">
        <f>(D376-E376)^2</f>
        <v/>
      </c>
      <c r="K376" s="14">
        <f>IF(ABS(G376)&lt;=1E-8,"",ABS((G376-H376)/G376))</f>
        <v/>
      </c>
    </row>
    <row r="377">
      <c r="A377" s="11" t="n">
        <v>45838</v>
      </c>
      <c r="B377" s="12" t="inlineStr">
        <is>
          <t>FR</t>
        </is>
      </c>
      <c r="C377" s="12" t="inlineStr">
        <is>
          <t>LightGBM</t>
        </is>
      </c>
      <c r="D377" s="13" t="n">
        <v>0.1000000000000005</v>
      </c>
      <c r="E377" s="13" t="n">
        <v>-0.0396070247928241</v>
      </c>
      <c r="F377" s="13" t="n">
        <v>7.6</v>
      </c>
      <c r="G377" s="13">
        <f>D377+F377</f>
        <v/>
      </c>
      <c r="H377" s="13">
        <f>E377+F377</f>
        <v/>
      </c>
      <c r="I377" s="13">
        <f>ABS(D377-E377)</f>
        <v/>
      </c>
      <c r="J377" s="13">
        <f>(D377-E377)^2</f>
        <v/>
      </c>
      <c r="K377" s="14">
        <f>IF(ABS(G377)&lt;=1E-8,"",ABS((G377-H377)/G377))</f>
        <v/>
      </c>
    </row>
    <row r="378">
      <c r="A378" s="11" t="n">
        <v>45838</v>
      </c>
      <c r="B378" s="12" t="inlineStr">
        <is>
          <t>GB</t>
        </is>
      </c>
      <c r="C378" s="12" t="inlineStr">
        <is>
          <t>LightGBM</t>
        </is>
      </c>
      <c r="D378" s="13" t="n">
        <v>0</v>
      </c>
      <c r="E378" s="13" t="n">
        <v>0.0042240928176585</v>
      </c>
      <c r="F378" s="13" t="n">
        <v>4.7</v>
      </c>
      <c r="G378" s="13">
        <f>D378+F378</f>
        <v/>
      </c>
      <c r="H378" s="13">
        <f>E378+F378</f>
        <v/>
      </c>
      <c r="I378" s="13">
        <f>ABS(D378-E378)</f>
        <v/>
      </c>
      <c r="J378" s="13">
        <f>(D378-E378)^2</f>
        <v/>
      </c>
      <c r="K378" s="14">
        <f>IF(ABS(G378)&lt;=1E-8,"",ABS((G378-H378)/G378))</f>
        <v/>
      </c>
    </row>
    <row r="379">
      <c r="A379" s="11" t="n">
        <v>45838</v>
      </c>
      <c r="B379" s="12" t="inlineStr">
        <is>
          <t>IT</t>
        </is>
      </c>
      <c r="C379" s="12" t="inlineStr">
        <is>
          <t>LightGBM</t>
        </is>
      </c>
      <c r="D379" s="13" t="n">
        <v>-0.5</v>
      </c>
      <c r="E379" s="13" t="n">
        <v>0.0124183915568178</v>
      </c>
      <c r="F379" s="13" t="n">
        <v>6.4</v>
      </c>
      <c r="G379" s="13">
        <f>D379+F379</f>
        <v/>
      </c>
      <c r="H379" s="13">
        <f>E379+F379</f>
        <v/>
      </c>
      <c r="I379" s="13">
        <f>ABS(D379-E379)</f>
        <v/>
      </c>
      <c r="J379" s="13">
        <f>(D379-E379)^2</f>
        <v/>
      </c>
      <c r="K379" s="14">
        <f>IF(ABS(G379)&lt;=1E-8,"",ABS((G379-H379)/G379))</f>
        <v/>
      </c>
    </row>
    <row r="380">
      <c r="A380" s="11" t="n">
        <v>45838</v>
      </c>
      <c r="B380" s="12" t="inlineStr">
        <is>
          <t>JP</t>
        </is>
      </c>
      <c r="C380" s="12" t="inlineStr">
        <is>
          <t>LightGBM</t>
        </is>
      </c>
      <c r="D380" s="13" t="n">
        <v>0</v>
      </c>
      <c r="E380" s="13" t="n">
        <v>0.0244358262603403</v>
      </c>
      <c r="F380" s="13" t="n">
        <v>2.5</v>
      </c>
      <c r="G380" s="13">
        <f>D380+F380</f>
        <v/>
      </c>
      <c r="H380" s="13">
        <f>E380+F380</f>
        <v/>
      </c>
      <c r="I380" s="13">
        <f>ABS(D380-E380)</f>
        <v/>
      </c>
      <c r="J380" s="13">
        <f>(D380-E380)^2</f>
        <v/>
      </c>
      <c r="K380" s="14">
        <f>IF(ABS(G380)&lt;=1E-8,"",ABS((G380-H380)/G380))</f>
        <v/>
      </c>
    </row>
    <row r="381">
      <c r="A381" s="11" t="n">
        <v>45838</v>
      </c>
      <c r="B381" s="12" t="inlineStr">
        <is>
          <t>KR</t>
        </is>
      </c>
      <c r="C381" s="12" t="inlineStr">
        <is>
          <t>LightGBM</t>
        </is>
      </c>
      <c r="D381" s="13" t="n">
        <v>0</v>
      </c>
      <c r="E381" s="13" t="n">
        <v>0.0340002818368259</v>
      </c>
      <c r="F381" s="13" t="n">
        <v>2.7</v>
      </c>
      <c r="G381" s="13">
        <f>D381+F381</f>
        <v/>
      </c>
      <c r="H381" s="13">
        <f>E381+F381</f>
        <v/>
      </c>
      <c r="I381" s="13">
        <f>ABS(D381-E381)</f>
        <v/>
      </c>
      <c r="J381" s="13">
        <f>(D381-E381)^2</f>
        <v/>
      </c>
      <c r="K381" s="14">
        <f>IF(ABS(G381)&lt;=1E-8,"",ABS((G381-H381)/G381))</f>
        <v/>
      </c>
    </row>
    <row r="382">
      <c r="A382" s="11" t="n">
        <v>45838</v>
      </c>
      <c r="B382" s="12" t="inlineStr">
        <is>
          <t>US</t>
        </is>
      </c>
      <c r="C382" s="12" t="inlineStr">
        <is>
          <t>LightGBM</t>
        </is>
      </c>
      <c r="D382" s="13" t="n">
        <v>-0.2000000000000001</v>
      </c>
      <c r="E382" s="13" t="n">
        <v>-0.0290592883701067</v>
      </c>
      <c r="F382" s="13" t="n">
        <v>4.3</v>
      </c>
      <c r="G382" s="13">
        <f>D382+F382</f>
        <v/>
      </c>
      <c r="H382" s="13">
        <f>E382+F382</f>
        <v/>
      </c>
      <c r="I382" s="13">
        <f>ABS(D382-E382)</f>
        <v/>
      </c>
      <c r="J382" s="13">
        <f>(D382-E382)^2</f>
        <v/>
      </c>
      <c r="K382" s="14">
        <f>IF(ABS(G382)&lt;=1E-8,"",ABS((G382-H382)/G382))</f>
        <v/>
      </c>
    </row>
    <row r="383">
      <c r="A383" s="11" t="n">
        <v>45869</v>
      </c>
      <c r="B383" s="12" t="inlineStr">
        <is>
          <t>AU</t>
        </is>
      </c>
      <c r="C383" s="12" t="inlineStr">
        <is>
          <t>LightGBM</t>
        </is>
      </c>
      <c r="D383" s="13" t="n">
        <v>-0.08211999999999969</v>
      </c>
      <c r="E383" s="13" t="n">
        <v>-0.0011047404268616</v>
      </c>
      <c r="F383" s="13" t="n">
        <v>4.317864</v>
      </c>
      <c r="G383" s="13">
        <f>D383+F383</f>
        <v/>
      </c>
      <c r="H383" s="13">
        <f>E383+F383</f>
        <v/>
      </c>
      <c r="I383" s="13">
        <f>ABS(D383-E383)</f>
        <v/>
      </c>
      <c r="J383" s="13">
        <f>(D383-E383)^2</f>
        <v/>
      </c>
      <c r="K383" s="14">
        <f>IF(ABS(G383)&lt;=1E-8,"",ABS((G383-H383)/G383))</f>
        <v/>
      </c>
    </row>
    <row r="384">
      <c r="A384" s="11" t="n">
        <v>45869</v>
      </c>
      <c r="B384" s="12" t="inlineStr">
        <is>
          <t>CA</t>
        </is>
      </c>
      <c r="C384" s="12" t="inlineStr">
        <is>
          <t>LightGBM</t>
        </is>
      </c>
      <c r="D384" s="13" t="n">
        <v>0</v>
      </c>
      <c r="E384" s="13" t="n">
        <v>-0.0457655723622003</v>
      </c>
      <c r="F384" s="13" t="n">
        <v>6.9</v>
      </c>
      <c r="G384" s="13">
        <f>D384+F384</f>
        <v/>
      </c>
      <c r="H384" s="13">
        <f>E384+F384</f>
        <v/>
      </c>
      <c r="I384" s="13">
        <f>ABS(D384-E384)</f>
        <v/>
      </c>
      <c r="J384" s="13">
        <f>(D384-E384)^2</f>
        <v/>
      </c>
      <c r="K384" s="14">
        <f>IF(ABS(G384)&lt;=1E-8,"",ABS((G384-H384)/G384))</f>
        <v/>
      </c>
    </row>
    <row r="385">
      <c r="A385" s="11" t="n">
        <v>45869</v>
      </c>
      <c r="B385" s="12" t="inlineStr">
        <is>
          <t>DE</t>
        </is>
      </c>
      <c r="C385" s="12" t="inlineStr">
        <is>
          <t>LightGBM</t>
        </is>
      </c>
      <c r="D385" s="13" t="n">
        <v>0.0999999999999996</v>
      </c>
      <c r="E385" s="13" t="n">
        <v>0.0450165821987039</v>
      </c>
      <c r="F385" s="13" t="n">
        <v>3.7</v>
      </c>
      <c r="G385" s="13">
        <f>D385+F385</f>
        <v/>
      </c>
      <c r="H385" s="13">
        <f>E385+F385</f>
        <v/>
      </c>
      <c r="I385" s="13">
        <f>ABS(D385-E385)</f>
        <v/>
      </c>
      <c r="J385" s="13">
        <f>(D385-E385)^2</f>
        <v/>
      </c>
      <c r="K385" s="14">
        <f>IF(ABS(G385)&lt;=1E-8,"",ABS((G385-H385)/G385))</f>
        <v/>
      </c>
    </row>
    <row r="386">
      <c r="A386" s="11" t="n">
        <v>45869</v>
      </c>
      <c r="B386" s="12" t="inlineStr">
        <is>
          <t>FR</t>
        </is>
      </c>
      <c r="C386" s="12" t="inlineStr">
        <is>
          <t>LightGBM</t>
        </is>
      </c>
      <c r="D386" s="13" t="n">
        <v>0</v>
      </c>
      <c r="E386" s="13" t="n">
        <v>-0.0332396211124824</v>
      </c>
      <c r="F386" s="13" t="n">
        <v>7.7</v>
      </c>
      <c r="G386" s="13">
        <f>D386+F386</f>
        <v/>
      </c>
      <c r="H386" s="13">
        <f>E386+F386</f>
        <v/>
      </c>
      <c r="I386" s="13">
        <f>ABS(D386-E386)</f>
        <v/>
      </c>
      <c r="J386" s="13">
        <f>(D386-E386)^2</f>
        <v/>
      </c>
      <c r="K386" s="14">
        <f>IF(ABS(G386)&lt;=1E-8,"",ABS((G386-H386)/G386))</f>
        <v/>
      </c>
    </row>
    <row r="387">
      <c r="A387" s="11" t="n">
        <v>45869</v>
      </c>
      <c r="B387" s="12" t="inlineStr">
        <is>
          <t>GB</t>
        </is>
      </c>
      <c r="C387" s="12" t="inlineStr">
        <is>
          <t>LightGBM</t>
        </is>
      </c>
      <c r="D387" s="13" t="n">
        <v>0.0999999999999996</v>
      </c>
      <c r="E387" s="13" t="n">
        <v>-0.0146242802516845</v>
      </c>
      <c r="F387" s="13" t="n">
        <v>4.7</v>
      </c>
      <c r="G387" s="13">
        <f>D387+F387</f>
        <v/>
      </c>
      <c r="H387" s="13">
        <f>E387+F387</f>
        <v/>
      </c>
      <c r="I387" s="13">
        <f>ABS(D387-E387)</f>
        <v/>
      </c>
      <c r="J387" s="13">
        <f>(D387-E387)^2</f>
        <v/>
      </c>
      <c r="K387" s="14">
        <f>IF(ABS(G387)&lt;=1E-8,"",ABS((G387-H387)/G387))</f>
        <v/>
      </c>
    </row>
    <row r="388">
      <c r="A388" s="11" t="n">
        <v>45869</v>
      </c>
      <c r="B388" s="12" t="inlineStr">
        <is>
          <t>IT</t>
        </is>
      </c>
      <c r="C388" s="12" t="inlineStr">
        <is>
          <t>LightGBM</t>
        </is>
      </c>
      <c r="D388" s="13" t="n">
        <v>0.0999999999999996</v>
      </c>
      <c r="E388" s="13" t="n">
        <v>0.0005648917540449</v>
      </c>
      <c r="F388" s="13" t="n">
        <v>5.9</v>
      </c>
      <c r="G388" s="13">
        <f>D388+F388</f>
        <v/>
      </c>
      <c r="H388" s="13">
        <f>E388+F388</f>
        <v/>
      </c>
      <c r="I388" s="13">
        <f>ABS(D388-E388)</f>
        <v/>
      </c>
      <c r="J388" s="13">
        <f>(D388-E388)^2</f>
        <v/>
      </c>
      <c r="K388" s="14">
        <f>IF(ABS(G388)&lt;=1E-8,"",ABS((G388-H388)/G388))</f>
        <v/>
      </c>
    </row>
    <row r="389">
      <c r="A389" s="11" t="n">
        <v>45869</v>
      </c>
      <c r="B389" s="12" t="inlineStr">
        <is>
          <t>JP</t>
        </is>
      </c>
      <c r="C389" s="12" t="inlineStr">
        <is>
          <t>LightGBM</t>
        </is>
      </c>
      <c r="D389" s="13" t="n">
        <v>-0.1</v>
      </c>
      <c r="E389" s="13" t="n">
        <v>0.0110829707123566</v>
      </c>
      <c r="F389" s="13" t="n">
        <v>2.5</v>
      </c>
      <c r="G389" s="13">
        <f>D389+F389</f>
        <v/>
      </c>
      <c r="H389" s="13">
        <f>E389+F389</f>
        <v/>
      </c>
      <c r="I389" s="13">
        <f>ABS(D389-E389)</f>
        <v/>
      </c>
      <c r="J389" s="13">
        <f>(D389-E389)^2</f>
        <v/>
      </c>
      <c r="K389" s="14">
        <f>IF(ABS(G389)&lt;=1E-8,"",ABS((G389-H389)/G389))</f>
        <v/>
      </c>
    </row>
    <row r="390">
      <c r="A390" s="11" t="n">
        <v>45869</v>
      </c>
      <c r="B390" s="12" t="inlineStr">
        <is>
          <t>KR</t>
        </is>
      </c>
      <c r="C390" s="12" t="inlineStr">
        <is>
          <t>LightGBM</t>
        </is>
      </c>
      <c r="D390" s="13" t="n">
        <v>0</v>
      </c>
      <c r="E390" s="13" t="n">
        <v>0.0024278662333008</v>
      </c>
      <c r="F390" s="13" t="n">
        <v>2.7</v>
      </c>
      <c r="G390" s="13">
        <f>D390+F390</f>
        <v/>
      </c>
      <c r="H390" s="13">
        <f>E390+F390</f>
        <v/>
      </c>
      <c r="I390" s="13">
        <f>ABS(D390-E390)</f>
        <v/>
      </c>
      <c r="J390" s="13">
        <f>(D390-E390)^2</f>
        <v/>
      </c>
      <c r="K390" s="14">
        <f>IF(ABS(G390)&lt;=1E-8,"",ABS((G390-H390)/G390))</f>
        <v/>
      </c>
    </row>
    <row r="391">
      <c r="A391" s="11" t="n">
        <v>45869</v>
      </c>
      <c r="B391" s="12" t="inlineStr">
        <is>
          <t>US</t>
        </is>
      </c>
      <c r="C391" s="12" t="inlineStr">
        <is>
          <t>LightGBM</t>
        </is>
      </c>
      <c r="D391" s="13" t="n">
        <v>0.2000000000000001</v>
      </c>
      <c r="E391" s="13" t="n">
        <v>0.0010309018228523</v>
      </c>
      <c r="F391" s="13" t="n">
        <v>4.1</v>
      </c>
      <c r="G391" s="13">
        <f>D391+F391</f>
        <v/>
      </c>
      <c r="H391" s="13">
        <f>E391+F391</f>
        <v/>
      </c>
      <c r="I391" s="13">
        <f>ABS(D391-E391)</f>
        <v/>
      </c>
      <c r="J391" s="13">
        <f>(D391-E391)^2</f>
        <v/>
      </c>
      <c r="K391" s="14">
        <f>IF(ABS(G391)&lt;=1E-8,"",ABS((G391-H391)/G391))</f>
        <v/>
      </c>
    </row>
    <row r="392">
      <c r="A392" s="11" t="n">
        <v>45900</v>
      </c>
      <c r="B392" s="12" t="inlineStr">
        <is>
          <t>AU</t>
        </is>
      </c>
      <c r="C392" s="12" t="inlineStr">
        <is>
          <t>LightGBM</t>
        </is>
      </c>
      <c r="D392" s="13" t="n">
        <v>0.008958999999999899</v>
      </c>
      <c r="E392" s="13" t="n">
        <v>-0.0008243138772004</v>
      </c>
      <c r="F392" s="13" t="n">
        <v>4.235744</v>
      </c>
      <c r="G392" s="13">
        <f>D392+F392</f>
        <v/>
      </c>
      <c r="H392" s="13">
        <f>E392+F392</f>
        <v/>
      </c>
      <c r="I392" s="13">
        <f>ABS(D392-E392)</f>
        <v/>
      </c>
      <c r="J392" s="13">
        <f>(D392-E392)^2</f>
        <v/>
      </c>
      <c r="K392" s="14">
        <f>IF(ABS(G392)&lt;=1E-8,"",ABS((G392-H392)/G392))</f>
        <v/>
      </c>
    </row>
    <row r="393">
      <c r="A393" s="11" t="n">
        <v>45900</v>
      </c>
      <c r="B393" s="12" t="inlineStr">
        <is>
          <t>CA</t>
        </is>
      </c>
      <c r="C393" s="12" t="inlineStr">
        <is>
          <t>LightGBM</t>
        </is>
      </c>
      <c r="D393" s="13" t="n">
        <v>0.1999999999999993</v>
      </c>
      <c r="E393" s="13" t="n">
        <v>-0.0307700056657239</v>
      </c>
      <c r="F393" s="13" t="n">
        <v>6.9</v>
      </c>
      <c r="G393" s="13">
        <f>D393+F393</f>
        <v/>
      </c>
      <c r="H393" s="13">
        <f>E393+F393</f>
        <v/>
      </c>
      <c r="I393" s="13">
        <f>ABS(D393-E393)</f>
        <v/>
      </c>
      <c r="J393" s="13">
        <f>(D393-E393)^2</f>
        <v/>
      </c>
      <c r="K393" s="14">
        <f>IF(ABS(G393)&lt;=1E-8,"",ABS((G393-H393)/G393))</f>
        <v/>
      </c>
    </row>
    <row r="394">
      <c r="A394" s="11" t="n">
        <v>45900</v>
      </c>
      <c r="B394" s="12" t="inlineStr">
        <is>
          <t>DE</t>
        </is>
      </c>
      <c r="C394" s="12" t="inlineStr">
        <is>
          <t>LightGBM</t>
        </is>
      </c>
      <c r="D394" s="13" t="n">
        <v>0</v>
      </c>
      <c r="E394" s="13" t="n">
        <v>0.0044867925371965</v>
      </c>
      <c r="F394" s="13" t="n">
        <v>3.8</v>
      </c>
      <c r="G394" s="13">
        <f>D394+F394</f>
        <v/>
      </c>
      <c r="H394" s="13">
        <f>E394+F394</f>
        <v/>
      </c>
      <c r="I394" s="13">
        <f>ABS(D394-E394)</f>
        <v/>
      </c>
      <c r="J394" s="13">
        <f>(D394-E394)^2</f>
        <v/>
      </c>
      <c r="K394" s="14">
        <f>IF(ABS(G394)&lt;=1E-8,"",ABS((G394-H394)/G394))</f>
        <v/>
      </c>
    </row>
    <row r="395">
      <c r="A395" s="11" t="n">
        <v>45900</v>
      </c>
      <c r="B395" s="12" t="inlineStr">
        <is>
          <t>FR</t>
        </is>
      </c>
      <c r="C395" s="12" t="inlineStr">
        <is>
          <t>LightGBM</t>
        </is>
      </c>
      <c r="D395" s="13" t="n">
        <v>0.0999999999999996</v>
      </c>
      <c r="E395" s="13" t="n">
        <v>-0.008629770129433599</v>
      </c>
      <c r="F395" s="13" t="n">
        <v>7.7</v>
      </c>
      <c r="G395" s="13">
        <f>D395+F395</f>
        <v/>
      </c>
      <c r="H395" s="13">
        <f>E395+F395</f>
        <v/>
      </c>
      <c r="I395" s="13">
        <f>ABS(D395-E395)</f>
        <v/>
      </c>
      <c r="J395" s="13">
        <f>(D395-E395)^2</f>
        <v/>
      </c>
      <c r="K395" s="14">
        <f>IF(ABS(G395)&lt;=1E-8,"",ABS((G395-H395)/G395))</f>
        <v/>
      </c>
    </row>
    <row r="396">
      <c r="A396" s="11" t="n">
        <v>45900</v>
      </c>
      <c r="B396" s="12" t="inlineStr">
        <is>
          <t>GB</t>
        </is>
      </c>
      <c r="C396" s="12" t="inlineStr">
        <is>
          <t>LightGBM</t>
        </is>
      </c>
      <c r="D396" s="13" t="n">
        <v>0.2000000000000001</v>
      </c>
      <c r="E396" s="13" t="n">
        <v>0.0016583295940265</v>
      </c>
      <c r="F396" s="13" t="n">
        <v>4.8</v>
      </c>
      <c r="G396" s="13">
        <f>D396+F396</f>
        <v/>
      </c>
      <c r="H396" s="13">
        <f>E396+F396</f>
        <v/>
      </c>
      <c r="I396" s="13">
        <f>ABS(D396-E396)</f>
        <v/>
      </c>
      <c r="J396" s="13">
        <f>(D396-E396)^2</f>
        <v/>
      </c>
      <c r="K396" s="14">
        <f>IF(ABS(G396)&lt;=1E-8,"",ABS((G396-H396)/G396))</f>
        <v/>
      </c>
    </row>
    <row r="397">
      <c r="A397" s="11" t="n">
        <v>45900</v>
      </c>
      <c r="B397" s="12" t="inlineStr">
        <is>
          <t>IT</t>
        </is>
      </c>
      <c r="C397" s="12" t="inlineStr">
        <is>
          <t>LightGBM</t>
        </is>
      </c>
      <c r="D397" s="13" t="n">
        <v>0</v>
      </c>
      <c r="E397" s="13" t="n">
        <v>-0.0146644151379679</v>
      </c>
      <c r="F397" s="13" t="n">
        <v>6</v>
      </c>
      <c r="G397" s="13">
        <f>D397+F397</f>
        <v/>
      </c>
      <c r="H397" s="13">
        <f>E397+F397</f>
        <v/>
      </c>
      <c r="I397" s="13">
        <f>ABS(D397-E397)</f>
        <v/>
      </c>
      <c r="J397" s="13">
        <f>(D397-E397)^2</f>
        <v/>
      </c>
      <c r="K397" s="14">
        <f>IF(ABS(G397)&lt;=1E-8,"",ABS((G397-H397)/G397))</f>
        <v/>
      </c>
    </row>
    <row r="398">
      <c r="A398" s="11" t="n">
        <v>45900</v>
      </c>
      <c r="B398" s="12" t="inlineStr">
        <is>
          <t>JP</t>
        </is>
      </c>
      <c r="C398" s="12" t="inlineStr">
        <is>
          <t>LightGBM</t>
        </is>
      </c>
      <c r="D398" s="13" t="n">
        <v>0.2000000000000001</v>
      </c>
      <c r="E398" s="13" t="n">
        <v>0.0121150253034251</v>
      </c>
      <c r="F398" s="13" t="n">
        <v>2.4</v>
      </c>
      <c r="G398" s="13">
        <f>D398+F398</f>
        <v/>
      </c>
      <c r="H398" s="13">
        <f>E398+F398</f>
        <v/>
      </c>
      <c r="I398" s="13">
        <f>ABS(D398-E398)</f>
        <v/>
      </c>
      <c r="J398" s="13">
        <f>(D398-E398)^2</f>
        <v/>
      </c>
      <c r="K398" s="14">
        <f>IF(ABS(G398)&lt;=1E-8,"",ABS((G398-H398)/G398))</f>
        <v/>
      </c>
    </row>
    <row r="399">
      <c r="A399" s="11" t="n">
        <v>45900</v>
      </c>
      <c r="B399" s="12" t="inlineStr">
        <is>
          <t>KR</t>
        </is>
      </c>
      <c r="C399" s="12" t="inlineStr">
        <is>
          <t>LightGBM</t>
        </is>
      </c>
      <c r="D399" s="13" t="n">
        <v>0.0999999999999996</v>
      </c>
      <c r="E399" s="13" t="n">
        <v>-0.000728043225197</v>
      </c>
      <c r="F399" s="13" t="n">
        <v>2.7</v>
      </c>
      <c r="G399" s="13">
        <f>D399+F399</f>
        <v/>
      </c>
      <c r="H399" s="13">
        <f>E399+F399</f>
        <v/>
      </c>
      <c r="I399" s="13">
        <f>ABS(D399-E399)</f>
        <v/>
      </c>
      <c r="J399" s="13">
        <f>(D399-E399)^2</f>
        <v/>
      </c>
      <c r="K399" s="14">
        <f>IF(ABS(G399)&lt;=1E-8,"",ABS((G399-H399)/G399))</f>
        <v/>
      </c>
    </row>
    <row r="400">
      <c r="A400" s="11" t="n">
        <v>45900</v>
      </c>
      <c r="B400" s="12" t="inlineStr">
        <is>
          <t>US</t>
        </is>
      </c>
      <c r="C400" s="12" t="inlineStr">
        <is>
          <t>LightGBM</t>
        </is>
      </c>
      <c r="D400" s="13" t="n">
        <v>0</v>
      </c>
      <c r="E400" s="13" t="n">
        <v>-0.0033650992810421</v>
      </c>
      <c r="F400" s="13" t="n">
        <v>4.3</v>
      </c>
      <c r="G400" s="13">
        <f>D400+F400</f>
        <v/>
      </c>
      <c r="H400" s="13">
        <f>E400+F400</f>
        <v/>
      </c>
      <c r="I400" s="13">
        <f>ABS(D400-E400)</f>
        <v/>
      </c>
      <c r="J400" s="13">
        <f>(D400-E400)^2</f>
        <v/>
      </c>
      <c r="K400" s="14">
        <f>IF(ABS(G400)&lt;=1E-8,"",ABS((G400-H400)/G400))</f>
        <v/>
      </c>
    </row>
    <row r="401">
      <c r="A401" s="11" t="n">
        <v>45930</v>
      </c>
      <c r="B401" s="12" t="inlineStr">
        <is>
          <t>AU</t>
        </is>
      </c>
      <c r="C401" s="12" t="inlineStr">
        <is>
          <t>LightGBM</t>
        </is>
      </c>
      <c r="D401" s="13" t="n">
        <v>0.1929949999999998</v>
      </c>
      <c r="E401" s="13" t="n">
        <v>-0.0019115742319602</v>
      </c>
      <c r="F401" s="13" t="n">
        <v>4.244703</v>
      </c>
      <c r="G401" s="13">
        <f>D401+F401</f>
        <v/>
      </c>
      <c r="H401" s="13">
        <f>E401+F401</f>
        <v/>
      </c>
      <c r="I401" s="13">
        <f>ABS(D401-E401)</f>
        <v/>
      </c>
      <c r="J401" s="13">
        <f>(D401-E401)^2</f>
        <v/>
      </c>
      <c r="K401" s="14">
        <f>IF(ABS(G401)&lt;=1E-8,"",ABS((G401-H401)/G401))</f>
        <v/>
      </c>
    </row>
    <row r="402">
      <c r="A402" s="11" t="n">
        <v>45930</v>
      </c>
      <c r="B402" s="12" t="inlineStr">
        <is>
          <t>CA</t>
        </is>
      </c>
      <c r="C402" s="12" t="inlineStr">
        <is>
          <t>LightGBM</t>
        </is>
      </c>
      <c r="D402" s="13" t="n">
        <v>0</v>
      </c>
      <c r="E402" s="13" t="n">
        <v>-0.0213302872279034</v>
      </c>
      <c r="F402" s="13" t="n">
        <v>7.1</v>
      </c>
      <c r="G402" s="13">
        <f>D402+F402</f>
        <v/>
      </c>
      <c r="H402" s="13">
        <f>E402+F402</f>
        <v/>
      </c>
      <c r="I402" s="13">
        <f>ABS(D402-E402)</f>
        <v/>
      </c>
      <c r="J402" s="13">
        <f>(D402-E402)^2</f>
        <v/>
      </c>
      <c r="K402" s="14">
        <f>IF(ABS(G402)&lt;=1E-8,"",ABS((G402-H402)/G402))</f>
        <v/>
      </c>
    </row>
    <row r="403">
      <c r="A403" s="11" t="n">
        <v>45930</v>
      </c>
      <c r="B403" s="12" t="inlineStr">
        <is>
          <t>DE</t>
        </is>
      </c>
      <c r="C403" s="12" t="inlineStr">
        <is>
          <t>LightGBM</t>
        </is>
      </c>
      <c r="D403" s="13" t="n">
        <v>0</v>
      </c>
      <c r="E403" s="13" t="n">
        <v>0.01133599345207</v>
      </c>
      <c r="F403" s="13" t="n">
        <v>3.8</v>
      </c>
      <c r="G403" s="13">
        <f>D403+F403</f>
        <v/>
      </c>
      <c r="H403" s="13">
        <f>E403+F403</f>
        <v/>
      </c>
      <c r="I403" s="13">
        <f>ABS(D403-E403)</f>
        <v/>
      </c>
      <c r="J403" s="13">
        <f>(D403-E403)^2</f>
        <v/>
      </c>
      <c r="K403" s="14">
        <f>IF(ABS(G403)&lt;=1E-8,"",ABS((G403-H403)/G403))</f>
        <v/>
      </c>
    </row>
    <row r="404">
      <c r="A404" s="11" t="n">
        <v>45930</v>
      </c>
      <c r="B404" s="12" t="inlineStr">
        <is>
          <t>FR</t>
        </is>
      </c>
      <c r="C404" s="12" t="inlineStr">
        <is>
          <t>LightGBM</t>
        </is>
      </c>
      <c r="D404" s="13" t="n">
        <v>0.1000000000000005</v>
      </c>
      <c r="E404" s="13" t="n">
        <v>-0.0254641526245625</v>
      </c>
      <c r="F404" s="13" t="n">
        <v>7.8</v>
      </c>
      <c r="G404" s="13">
        <f>D404+F404</f>
        <v/>
      </c>
      <c r="H404" s="13">
        <f>E404+F404</f>
        <v/>
      </c>
      <c r="I404" s="13">
        <f>ABS(D404-E404)</f>
        <v/>
      </c>
      <c r="J404" s="13">
        <f>(D404-E404)^2</f>
        <v/>
      </c>
      <c r="K404" s="14">
        <f>IF(ABS(G404)&lt;=1E-8,"",ABS((G404-H404)/G404))</f>
        <v/>
      </c>
    </row>
    <row r="405">
      <c r="A405" s="11" t="n">
        <v>45930</v>
      </c>
      <c r="B405" s="12" t="inlineStr">
        <is>
          <t>GB</t>
        </is>
      </c>
      <c r="C405" s="12" t="inlineStr">
        <is>
          <t>LightGBM</t>
        </is>
      </c>
      <c r="D405" s="13" t="n">
        <v>0.0999999999999996</v>
      </c>
      <c r="E405" s="13" t="n">
        <v>-0.0040866555761803</v>
      </c>
      <c r="F405" s="13" t="n">
        <v>5</v>
      </c>
      <c r="G405" s="13">
        <f>D405+F405</f>
        <v/>
      </c>
      <c r="H405" s="13">
        <f>E405+F405</f>
        <v/>
      </c>
      <c r="I405" s="13">
        <f>ABS(D405-E405)</f>
        <v/>
      </c>
      <c r="J405" s="13">
        <f>(D405-E405)^2</f>
        <v/>
      </c>
      <c r="K405" s="14">
        <f>IF(ABS(G405)&lt;=1E-8,"",ABS((G405-H405)/G405))</f>
        <v/>
      </c>
    </row>
    <row r="406">
      <c r="A406" s="11" t="n">
        <v>45930</v>
      </c>
      <c r="B406" s="12" t="inlineStr">
        <is>
          <t>IT</t>
        </is>
      </c>
      <c r="C406" s="12" t="inlineStr">
        <is>
          <t>LightGBM</t>
        </is>
      </c>
      <c r="D406" s="13" t="n">
        <v>0</v>
      </c>
      <c r="E406" s="13" t="n">
        <v>-0.0117048803875352</v>
      </c>
      <c r="F406" s="13" t="n">
        <v>6</v>
      </c>
      <c r="G406" s="13">
        <f>D406+F406</f>
        <v/>
      </c>
      <c r="H406" s="13">
        <f>E406+F406</f>
        <v/>
      </c>
      <c r="I406" s="13">
        <f>ABS(D406-E406)</f>
        <v/>
      </c>
      <c r="J406" s="13">
        <f>(D406-E406)^2</f>
        <v/>
      </c>
      <c r="K406" s="14">
        <f>IF(ABS(G406)&lt;=1E-8,"",ABS((G406-H406)/G406))</f>
        <v/>
      </c>
    </row>
    <row r="407">
      <c r="A407" s="11" t="n">
        <v>45930</v>
      </c>
      <c r="B407" s="12" t="inlineStr">
        <is>
          <t>JP</t>
        </is>
      </c>
      <c r="C407" s="12" t="inlineStr">
        <is>
          <t>LightGBM</t>
        </is>
      </c>
      <c r="D407" s="13" t="n">
        <v>0</v>
      </c>
      <c r="E407" s="13" t="n">
        <v>0.0002496452865367</v>
      </c>
      <c r="F407" s="13" t="n">
        <v>2.6</v>
      </c>
      <c r="G407" s="13">
        <f>D407+F407</f>
        <v/>
      </c>
      <c r="H407" s="13">
        <f>E407+F407</f>
        <v/>
      </c>
      <c r="I407" s="13">
        <f>ABS(D407-E407)</f>
        <v/>
      </c>
      <c r="J407" s="13">
        <f>(D407-E407)^2</f>
        <v/>
      </c>
      <c r="K407" s="14">
        <f>IF(ABS(G407)&lt;=1E-8,"",ABS((G407-H407)/G407))</f>
        <v/>
      </c>
    </row>
    <row r="408">
      <c r="A408" s="11" t="n">
        <v>45930</v>
      </c>
      <c r="B408" s="12" t="inlineStr">
        <is>
          <t>KR</t>
        </is>
      </c>
      <c r="C408" s="12" t="inlineStr">
        <is>
          <t>LightGBM</t>
        </is>
      </c>
      <c r="D408" s="13" t="n">
        <v>-0.0999999999999996</v>
      </c>
      <c r="E408" s="13" t="n">
        <v>0.0065854510563237</v>
      </c>
      <c r="F408" s="13" t="n">
        <v>2.8</v>
      </c>
      <c r="G408" s="13">
        <f>D408+F408</f>
        <v/>
      </c>
      <c r="H408" s="13">
        <f>E408+F408</f>
        <v/>
      </c>
      <c r="I408" s="13">
        <f>ABS(D408-E408)</f>
        <v/>
      </c>
      <c r="J408" s="13">
        <f>(D408-E408)^2</f>
        <v/>
      </c>
      <c r="K408" s="14">
        <f>IF(ABS(G408)&lt;=1E-8,"",ABS((G408-H408)/G408))</f>
        <v/>
      </c>
    </row>
    <row r="409">
      <c r="A409" s="11" t="n">
        <v>45930</v>
      </c>
      <c r="B409" s="12" t="inlineStr">
        <is>
          <t>US</t>
        </is>
      </c>
      <c r="C409" s="12" t="inlineStr">
        <is>
          <t>LightGBM</t>
        </is>
      </c>
      <c r="D409" s="13" t="n">
        <v>0.1000000000000005</v>
      </c>
      <c r="E409" s="13" t="n">
        <v>-0.0021824074561795</v>
      </c>
      <c r="F409" s="13" t="n">
        <v>4.3</v>
      </c>
      <c r="G409" s="13">
        <f>D409+F409</f>
        <v/>
      </c>
      <c r="H409" s="13">
        <f>E409+F409</f>
        <v/>
      </c>
      <c r="I409" s="13">
        <f>ABS(D409-E409)</f>
        <v/>
      </c>
      <c r="J409" s="13">
        <f>(D409-E409)^2</f>
        <v/>
      </c>
      <c r="K409" s="14">
        <f>IF(ABS(G409)&lt;=1E-8,"",ABS((G409-H409)/G409))</f>
        <v/>
      </c>
    </row>
    <row r="410">
      <c r="A410" s="11" t="n">
        <v>45961</v>
      </c>
      <c r="B410" s="12" t="inlineStr">
        <is>
          <t>AU</t>
        </is>
      </c>
      <c r="C410" s="12" t="inlineStr">
        <is>
          <t>LightGBM</t>
        </is>
      </c>
      <c r="D410" s="13" t="n">
        <v>-0.1061500000000004</v>
      </c>
      <c r="E410" s="13" t="n">
        <v>-0.009345967904580799</v>
      </c>
      <c r="F410" s="13" t="n">
        <v>4.437698</v>
      </c>
      <c r="G410" s="13">
        <f>D410+F410</f>
        <v/>
      </c>
      <c r="H410" s="13">
        <f>E410+F410</f>
        <v/>
      </c>
      <c r="I410" s="13">
        <f>ABS(D410-E410)</f>
        <v/>
      </c>
      <c r="J410" s="13">
        <f>(D410-E410)^2</f>
        <v/>
      </c>
      <c r="K410" s="14">
        <f>IF(ABS(G410)&lt;=1E-8,"",ABS((G410-H410)/G410))</f>
        <v/>
      </c>
    </row>
    <row r="411">
      <c r="A411" s="11" t="n">
        <v>45961</v>
      </c>
      <c r="B411" s="12" t="inlineStr">
        <is>
          <t>CA</t>
        </is>
      </c>
      <c r="C411" s="12" t="inlineStr">
        <is>
          <t>LightGBM</t>
        </is>
      </c>
      <c r="D411" s="13" t="n">
        <v>-0.1999999999999993</v>
      </c>
      <c r="E411" s="13" t="n">
        <v>-0.0382837452259458</v>
      </c>
      <c r="F411" s="13" t="n">
        <v>7.1</v>
      </c>
      <c r="G411" s="13">
        <f>D411+F411</f>
        <v/>
      </c>
      <c r="H411" s="13">
        <f>E411+F411</f>
        <v/>
      </c>
      <c r="I411" s="13">
        <f>ABS(D411-E411)</f>
        <v/>
      </c>
      <c r="J411" s="13">
        <f>(D411-E411)^2</f>
        <v/>
      </c>
      <c r="K411" s="14">
        <f>IF(ABS(G411)&lt;=1E-8,"",ABS((G411-H411)/G411))</f>
        <v/>
      </c>
    </row>
    <row r="412">
      <c r="A412" s="11" t="n">
        <v>45961</v>
      </c>
      <c r="B412" s="12" t="inlineStr">
        <is>
          <t>DE</t>
        </is>
      </c>
      <c r="C412" s="12" t="inlineStr">
        <is>
          <t>LightGBM</t>
        </is>
      </c>
      <c r="D412" s="13" t="n">
        <v>0.1</v>
      </c>
      <c r="E412" s="13" t="n">
        <v>0.0189770539505919</v>
      </c>
      <c r="F412" s="13" t="n">
        <v>3.8</v>
      </c>
      <c r="G412" s="13">
        <f>D412+F412</f>
        <v/>
      </c>
      <c r="H412" s="13">
        <f>E412+F412</f>
        <v/>
      </c>
      <c r="I412" s="13">
        <f>ABS(D412-E412)</f>
        <v/>
      </c>
      <c r="J412" s="13">
        <f>(D412-E412)^2</f>
        <v/>
      </c>
      <c r="K412" s="14">
        <f>IF(ABS(G412)&lt;=1E-8,"",ABS((G412-H412)/G412))</f>
        <v/>
      </c>
    </row>
    <row r="413">
      <c r="A413" s="11" t="n">
        <v>45961</v>
      </c>
      <c r="B413" s="12" t="inlineStr">
        <is>
          <t>FR</t>
        </is>
      </c>
      <c r="C413" s="12" t="inlineStr">
        <is>
          <t>LightGBM</t>
        </is>
      </c>
      <c r="D413" s="13" t="n">
        <v>0.0999999999999996</v>
      </c>
      <c r="E413" s="13" t="n">
        <v>-0.0221870886144901</v>
      </c>
      <c r="F413" s="13" t="n">
        <v>7.9</v>
      </c>
      <c r="G413" s="13">
        <f>D413+F413</f>
        <v/>
      </c>
      <c r="H413" s="13">
        <f>E413+F413</f>
        <v/>
      </c>
      <c r="I413" s="13">
        <f>ABS(D413-E413)</f>
        <v/>
      </c>
      <c r="J413" s="13">
        <f>(D413-E413)^2</f>
        <v/>
      </c>
      <c r="K413" s="14">
        <f>IF(ABS(G413)&lt;=1E-8,"",ABS((G413-H413)/G413))</f>
        <v/>
      </c>
    </row>
    <row r="414">
      <c r="A414" s="11" t="n">
        <v>45961</v>
      </c>
      <c r="B414" s="12" t="inlineStr">
        <is>
          <t>GB</t>
        </is>
      </c>
      <c r="C414" s="12" t="inlineStr">
        <is>
          <t>LightGBM</t>
        </is>
      </c>
      <c r="D414" s="13" t="n">
        <v>0</v>
      </c>
      <c r="E414" s="13" t="n">
        <v>0.0488520545035175</v>
      </c>
      <c r="F414" s="13" t="n">
        <v>5.1</v>
      </c>
      <c r="G414" s="13">
        <f>D414+F414</f>
        <v/>
      </c>
      <c r="H414" s="13">
        <f>E414+F414</f>
        <v/>
      </c>
      <c r="I414" s="13">
        <f>ABS(D414-E414)</f>
        <v/>
      </c>
      <c r="J414" s="13">
        <f>(D414-E414)^2</f>
        <v/>
      </c>
      <c r="K414" s="14">
        <f>IF(ABS(G414)&lt;=1E-8,"",ABS((G414-H414)/G414))</f>
        <v/>
      </c>
    </row>
    <row r="415">
      <c r="A415" s="11" t="n">
        <v>45961</v>
      </c>
      <c r="B415" s="12" t="inlineStr">
        <is>
          <t>IT</t>
        </is>
      </c>
      <c r="C415" s="12" t="inlineStr">
        <is>
          <t>LightGBM</t>
        </is>
      </c>
      <c r="D415" s="13" t="n">
        <v>-0.2000000000000001</v>
      </c>
      <c r="E415" s="13" t="n">
        <v>0.0086942900825728</v>
      </c>
      <c r="F415" s="13" t="n">
        <v>6</v>
      </c>
      <c r="G415" s="13">
        <f>D415+F415</f>
        <v/>
      </c>
      <c r="H415" s="13">
        <f>E415+F415</f>
        <v/>
      </c>
      <c r="I415" s="13">
        <f>ABS(D415-E415)</f>
        <v/>
      </c>
      <c r="J415" s="13">
        <f>(D415-E415)^2</f>
        <v/>
      </c>
      <c r="K415" s="14">
        <f>IF(ABS(G415)&lt;=1E-8,"",ABS((G415-H415)/G415))</f>
        <v/>
      </c>
    </row>
    <row r="416">
      <c r="A416" s="11" t="n">
        <v>45961</v>
      </c>
      <c r="B416" s="12" t="inlineStr">
        <is>
          <t>JP</t>
        </is>
      </c>
      <c r="C416" s="12" t="inlineStr">
        <is>
          <t>LightGBM</t>
        </is>
      </c>
      <c r="D416" s="13" t="n">
        <v>0</v>
      </c>
      <c r="E416" s="13" t="n">
        <v>0.0241446557019567</v>
      </c>
      <c r="F416" s="13" t="n">
        <v>2.6</v>
      </c>
      <c r="G416" s="13">
        <f>D416+F416</f>
        <v/>
      </c>
      <c r="H416" s="13">
        <f>E416+F416</f>
        <v/>
      </c>
      <c r="I416" s="13">
        <f>ABS(D416-E416)</f>
        <v/>
      </c>
      <c r="J416" s="13">
        <f>(D416-E416)^2</f>
        <v/>
      </c>
      <c r="K416" s="14">
        <f>IF(ABS(G416)&lt;=1E-8,"",ABS((G416-H416)/G416))</f>
        <v/>
      </c>
    </row>
    <row r="417">
      <c r="A417" s="11" t="n">
        <v>45961</v>
      </c>
      <c r="B417" s="12" t="inlineStr">
        <is>
          <t>KR</t>
        </is>
      </c>
      <c r="C417" s="12" t="inlineStr">
        <is>
          <t>LightGBM</t>
        </is>
      </c>
      <c r="D417" s="13" t="n">
        <v>0</v>
      </c>
      <c r="E417" s="13" t="n">
        <v>0.0162073232234212</v>
      </c>
      <c r="F417" s="13" t="n">
        <v>2.7</v>
      </c>
      <c r="G417" s="13">
        <f>D417+F417</f>
        <v/>
      </c>
      <c r="H417" s="13">
        <f>E417+F417</f>
        <v/>
      </c>
      <c r="I417" s="13">
        <f>ABS(D417-E417)</f>
        <v/>
      </c>
      <c r="J417" s="13">
        <f>(D417-E417)^2</f>
        <v/>
      </c>
      <c r="K417" s="14">
        <f>IF(ABS(G417)&lt;=1E-8,"",ABS((G417-H417)/G417))</f>
        <v/>
      </c>
    </row>
    <row r="418">
      <c r="A418" s="11" t="n">
        <v>45961</v>
      </c>
      <c r="B418" s="12" t="inlineStr">
        <is>
          <t>US</t>
        </is>
      </c>
      <c r="C418" s="12" t="inlineStr">
        <is>
          <t>LightGBM</t>
        </is>
      </c>
      <c r="D418" s="13" t="n">
        <v>0.0499999999999998</v>
      </c>
      <c r="E418" s="13" t="n">
        <v>0.0047223368538104</v>
      </c>
      <c r="F418" s="13" t="n">
        <v>4.4</v>
      </c>
      <c r="G418" s="13">
        <f>D418+F418</f>
        <v/>
      </c>
      <c r="H418" s="13">
        <f>E418+F418</f>
        <v/>
      </c>
      <c r="I418" s="13">
        <f>ABS(D418-E418)</f>
        <v/>
      </c>
      <c r="J418" s="13">
        <f>(D418-E418)^2</f>
        <v/>
      </c>
      <c r="K418" s="14">
        <f>IF(ABS(G418)&lt;=1E-8,"",ABS((G418-H418)/G418))</f>
        <v/>
      </c>
    </row>
    <row r="419">
      <c r="A419" s="11" t="n">
        <v>45991</v>
      </c>
      <c r="B419" s="12" t="inlineStr">
        <is>
          <t>AU</t>
        </is>
      </c>
      <c r="C419" s="12" t="inlineStr">
        <is>
          <t>LightGBM</t>
        </is>
      </c>
      <c r="D419" s="13" t="n">
        <v>-0.0092359999999995</v>
      </c>
      <c r="E419" s="13" t="n">
        <v>-0.0192338140049269</v>
      </c>
      <c r="F419" s="13" t="n">
        <v>4.331548</v>
      </c>
      <c r="G419" s="13">
        <f>D419+F419</f>
        <v/>
      </c>
      <c r="H419" s="13">
        <f>E419+F419</f>
        <v/>
      </c>
      <c r="I419" s="13">
        <f>ABS(D419-E419)</f>
        <v/>
      </c>
      <c r="J419" s="13">
        <f>(D419-E419)^2</f>
        <v/>
      </c>
      <c r="K419" s="14">
        <f>IF(ABS(G419)&lt;=1E-8,"",ABS((G419-H419)/G419))</f>
        <v/>
      </c>
    </row>
    <row r="420">
      <c r="A420" s="11" t="n">
        <v>45991</v>
      </c>
      <c r="B420" s="12" t="inlineStr">
        <is>
          <t>CA</t>
        </is>
      </c>
      <c r="C420" s="12" t="inlineStr">
        <is>
          <t>LightGBM</t>
        </is>
      </c>
      <c r="D420" s="13" t="n">
        <v>-0.3000000000000007</v>
      </c>
      <c r="E420" s="13" t="n">
        <v>-0.0290210948590053</v>
      </c>
      <c r="F420" s="13" t="n">
        <v>6.9</v>
      </c>
      <c r="G420" s="13">
        <f>D420+F420</f>
        <v/>
      </c>
      <c r="H420" s="13">
        <f>E420+F420</f>
        <v/>
      </c>
      <c r="I420" s="13">
        <f>ABS(D420-E420)</f>
        <v/>
      </c>
      <c r="J420" s="13">
        <f>(D420-E420)^2</f>
        <v/>
      </c>
      <c r="K420" s="14">
        <f>IF(ABS(G420)&lt;=1E-8,"",ABS((G420-H420)/G420))</f>
        <v/>
      </c>
    </row>
    <row r="421">
      <c r="A421" s="11" t="n">
        <v>45991</v>
      </c>
      <c r="B421" s="12" t="inlineStr">
        <is>
          <t>DE</t>
        </is>
      </c>
      <c r="C421" s="12" t="inlineStr">
        <is>
          <t>LightGBM</t>
        </is>
      </c>
      <c r="D421" s="13" t="n">
        <v>0</v>
      </c>
      <c r="E421" s="13" t="n">
        <v>0.0154374567672956</v>
      </c>
      <c r="F421" s="13" t="n">
        <v>3.9</v>
      </c>
      <c r="G421" s="13">
        <f>D421+F421</f>
        <v/>
      </c>
      <c r="H421" s="13">
        <f>E421+F421</f>
        <v/>
      </c>
      <c r="I421" s="13">
        <f>ABS(D421-E421)</f>
        <v/>
      </c>
      <c r="J421" s="13">
        <f>(D421-E421)^2</f>
        <v/>
      </c>
      <c r="K421" s="14">
        <f>IF(ABS(G421)&lt;=1E-8,"",ABS((G421-H421)/G421))</f>
        <v/>
      </c>
    </row>
    <row r="422">
      <c r="A422" s="11" t="n">
        <v>45991</v>
      </c>
      <c r="B422" s="12" t="inlineStr">
        <is>
          <t>FR</t>
        </is>
      </c>
      <c r="C422" s="12" t="inlineStr">
        <is>
          <t>LightGBM</t>
        </is>
      </c>
      <c r="D422" s="13" t="n">
        <v>0</v>
      </c>
      <c r="E422" s="13" t="n">
        <v>-0.0117066740483687</v>
      </c>
      <c r="F422" s="13" t="n">
        <v>8</v>
      </c>
      <c r="G422" s="13">
        <f>D422+F422</f>
        <v/>
      </c>
      <c r="H422" s="13">
        <f>E422+F422</f>
        <v/>
      </c>
      <c r="I422" s="13">
        <f>ABS(D422-E422)</f>
        <v/>
      </c>
      <c r="J422" s="13">
        <f>(D422-E422)^2</f>
        <v/>
      </c>
      <c r="K422" s="14">
        <f>IF(ABS(G422)&lt;=1E-8,"",ABS((G422-H422)/G422))</f>
        <v/>
      </c>
    </row>
    <row r="423">
      <c r="A423" s="11" t="n">
        <v>45991</v>
      </c>
      <c r="B423" s="12" t="inlineStr">
        <is>
          <t>GB</t>
        </is>
      </c>
      <c r="C423" s="12" t="inlineStr">
        <is>
          <t>LightGBM</t>
        </is>
      </c>
      <c r="D423" s="13" t="n">
        <v>0.1000000000000005</v>
      </c>
      <c r="E423" s="13" t="n">
        <v>0.0379206283238444</v>
      </c>
      <c r="F423" s="13" t="n">
        <v>5.1</v>
      </c>
      <c r="G423" s="13">
        <f>D423+F423</f>
        <v/>
      </c>
      <c r="H423" s="13">
        <f>E423+F423</f>
        <v/>
      </c>
      <c r="I423" s="13">
        <f>ABS(D423-E423)</f>
        <v/>
      </c>
      <c r="J423" s="13">
        <f>(D423-E423)^2</f>
        <v/>
      </c>
      <c r="K423" s="14">
        <f>IF(ABS(G423)&lt;=1E-8,"",ABS((G423-H423)/G423))</f>
        <v/>
      </c>
    </row>
    <row r="424">
      <c r="A424" s="11" t="n">
        <v>45991</v>
      </c>
      <c r="B424" s="12" t="inlineStr">
        <is>
          <t>IT</t>
        </is>
      </c>
      <c r="C424" s="12" t="inlineStr">
        <is>
          <t>LightGBM</t>
        </is>
      </c>
      <c r="D424" s="13" t="n">
        <v>-0.0999999999999996</v>
      </c>
      <c r="E424" s="13" t="n">
        <v>-0.0224883474398196</v>
      </c>
      <c r="F424" s="13" t="n">
        <v>5.8</v>
      </c>
      <c r="G424" s="13">
        <f>D424+F424</f>
        <v/>
      </c>
      <c r="H424" s="13">
        <f>E424+F424</f>
        <v/>
      </c>
      <c r="I424" s="13">
        <f>ABS(D424-E424)</f>
        <v/>
      </c>
      <c r="J424" s="13">
        <f>(D424-E424)^2</f>
        <v/>
      </c>
      <c r="K424" s="14">
        <f>IF(ABS(G424)&lt;=1E-8,"",ABS((G424-H424)/G424))</f>
        <v/>
      </c>
    </row>
    <row r="425">
      <c r="A425" s="11" t="n">
        <v>45991</v>
      </c>
      <c r="B425" s="12" t="inlineStr">
        <is>
          <t>JP</t>
        </is>
      </c>
      <c r="C425" s="12" t="inlineStr">
        <is>
          <t>LightGBM</t>
        </is>
      </c>
      <c r="D425" s="13" t="n">
        <v>0</v>
      </c>
      <c r="E425" s="13" t="n">
        <v>0.018680150659982</v>
      </c>
      <c r="F425" s="13" t="n">
        <v>2.6</v>
      </c>
      <c r="G425" s="13">
        <f>D425+F425</f>
        <v/>
      </c>
      <c r="H425" s="13">
        <f>E425+F425</f>
        <v/>
      </c>
      <c r="I425" s="13">
        <f>ABS(D425-E425)</f>
        <v/>
      </c>
      <c r="J425" s="13">
        <f>(D425-E425)^2</f>
        <v/>
      </c>
      <c r="K425" s="14">
        <f>IF(ABS(G425)&lt;=1E-8,"",ABS((G425-H425)/G425))</f>
        <v/>
      </c>
    </row>
    <row r="426">
      <c r="A426" s="11" t="n">
        <v>45991</v>
      </c>
      <c r="B426" s="12" t="inlineStr">
        <is>
          <t>KR</t>
        </is>
      </c>
      <c r="C426" s="12" t="inlineStr">
        <is>
          <t>LightGBM</t>
        </is>
      </c>
      <c r="D426" s="13" t="n">
        <v>0.0999999999999996</v>
      </c>
      <c r="E426" s="13" t="n">
        <v>0.0266239288648968</v>
      </c>
      <c r="F426" s="13" t="n">
        <v>2.7</v>
      </c>
      <c r="G426" s="13">
        <f>D426+F426</f>
        <v/>
      </c>
      <c r="H426" s="13">
        <f>E426+F426</f>
        <v/>
      </c>
      <c r="I426" s="13">
        <f>ABS(D426-E426)</f>
        <v/>
      </c>
      <c r="J426" s="13">
        <f>(D426-E426)^2</f>
        <v/>
      </c>
      <c r="K426" s="14">
        <f>IF(ABS(G426)&lt;=1E-8,"",ABS((G426-H426)/G426))</f>
        <v/>
      </c>
    </row>
    <row r="427">
      <c r="A427" s="11" t="n">
        <v>45991</v>
      </c>
      <c r="B427" s="12" t="inlineStr">
        <is>
          <t>US</t>
        </is>
      </c>
      <c r="C427" s="12" t="inlineStr">
        <is>
          <t>LightGBM</t>
        </is>
      </c>
      <c r="D427" s="13" t="n">
        <v>0.0499999999999998</v>
      </c>
      <c r="E427" s="13" t="n">
        <v>0.0115317518847064</v>
      </c>
      <c r="F427" s="13" t="n">
        <v>4.45</v>
      </c>
      <c r="G427" s="13">
        <f>D427+F427</f>
        <v/>
      </c>
      <c r="H427" s="13">
        <f>E427+F427</f>
        <v/>
      </c>
      <c r="I427" s="13">
        <f>ABS(D427-E427)</f>
        <v/>
      </c>
      <c r="J427" s="13">
        <f>(D427-E427)^2</f>
        <v/>
      </c>
      <c r="K427" s="14">
        <f>IF(ABS(G427)&lt;=1E-8,"",ABS((G427-H427)/G427))</f>
        <v/>
      </c>
    </row>
    <row r="428">
      <c r="A428" s="11" t="n">
        <v>46022</v>
      </c>
      <c r="B428" s="12" t="inlineStr">
        <is>
          <t>AU</t>
        </is>
      </c>
      <c r="C428" s="12" t="inlineStr">
        <is>
          <t>LightGBM</t>
        </is>
      </c>
      <c r="D428" s="13" t="n">
        <v>-0.2041919999999999</v>
      </c>
      <c r="E428" s="13" t="n">
        <v>-0.0140527358911356</v>
      </c>
      <c r="F428" s="13" t="n">
        <v>4.322312</v>
      </c>
      <c r="G428" s="13">
        <f>D428+F428</f>
        <v/>
      </c>
      <c r="H428" s="13">
        <f>E428+F428</f>
        <v/>
      </c>
      <c r="I428" s="13">
        <f>ABS(D428-E428)</f>
        <v/>
      </c>
      <c r="J428" s="13">
        <f>(D428-E428)^2</f>
        <v/>
      </c>
      <c r="K428" s="14">
        <f>IF(ABS(G428)&lt;=1E-8,"",ABS((G428-H428)/G428))</f>
        <v/>
      </c>
    </row>
    <row r="429">
      <c r="A429" s="11" t="n">
        <v>46022</v>
      </c>
      <c r="B429" s="12" t="inlineStr">
        <is>
          <t>CA</t>
        </is>
      </c>
      <c r="C429" s="12" t="inlineStr">
        <is>
          <t>LightGBM</t>
        </is>
      </c>
      <c r="D429" s="13" t="n">
        <v>0.2000000000000001</v>
      </c>
      <c r="E429" s="13" t="n">
        <v>-0.0236152611581295</v>
      </c>
      <c r="F429" s="13" t="n">
        <v>6.6</v>
      </c>
      <c r="G429" s="13">
        <f>D429+F429</f>
        <v/>
      </c>
      <c r="H429" s="13">
        <f>E429+F429</f>
        <v/>
      </c>
      <c r="I429" s="13">
        <f>ABS(D429-E429)</f>
        <v/>
      </c>
      <c r="J429" s="13">
        <f>(D429-E429)^2</f>
        <v/>
      </c>
      <c r="K429" s="14">
        <f>IF(ABS(G429)&lt;=1E-8,"",ABS((G429-H429)/G429))</f>
        <v/>
      </c>
    </row>
    <row r="430">
      <c r="A430" s="11" t="n">
        <v>46022</v>
      </c>
      <c r="B430" s="12" t="inlineStr">
        <is>
          <t>DE</t>
        </is>
      </c>
      <c r="C430" s="12" t="inlineStr">
        <is>
          <t>LightGBM</t>
        </is>
      </c>
      <c r="D430" s="13" t="n">
        <v>0</v>
      </c>
      <c r="E430" s="13" t="n">
        <v>0.0264131975260113</v>
      </c>
      <c r="F430" s="13" t="n">
        <v>3.9</v>
      </c>
      <c r="G430" s="13">
        <f>D430+F430</f>
        <v/>
      </c>
      <c r="H430" s="13">
        <f>E430+F430</f>
        <v/>
      </c>
      <c r="I430" s="13">
        <f>ABS(D430-E430)</f>
        <v/>
      </c>
      <c r="J430" s="13">
        <f>(D430-E430)^2</f>
        <v/>
      </c>
      <c r="K430" s="14">
        <f>IF(ABS(G430)&lt;=1E-8,"",ABS((G430-H430)/G430))</f>
        <v/>
      </c>
    </row>
    <row r="431">
      <c r="A431" s="11" t="n">
        <v>46022</v>
      </c>
      <c r="B431" s="12" t="inlineStr">
        <is>
          <t>FR</t>
        </is>
      </c>
      <c r="C431" s="12" t="inlineStr">
        <is>
          <t>LightGBM</t>
        </is>
      </c>
      <c r="D431" s="13" t="n">
        <v>0</v>
      </c>
      <c r="E431" s="13" t="n">
        <v>-0.0064214218721707</v>
      </c>
      <c r="F431" s="13" t="n">
        <v>8</v>
      </c>
      <c r="G431" s="13">
        <f>D431+F431</f>
        <v/>
      </c>
      <c r="H431" s="13">
        <f>E431+F431</f>
        <v/>
      </c>
      <c r="I431" s="13">
        <f>ABS(D431-E431)</f>
        <v/>
      </c>
      <c r="J431" s="13">
        <f>(D431-E431)^2</f>
        <v/>
      </c>
      <c r="K431" s="14">
        <f>IF(ABS(G431)&lt;=1E-8,"",ABS((G431-H431)/G431))</f>
        <v/>
      </c>
    </row>
    <row r="432">
      <c r="A432" s="11" t="n">
        <v>46022</v>
      </c>
      <c r="B432" s="12" t="inlineStr">
        <is>
          <t>GB</t>
        </is>
      </c>
      <c r="C432" s="12" t="inlineStr">
        <is>
          <t>LightGBM</t>
        </is>
      </c>
      <c r="D432" s="13" t="n">
        <v>0</v>
      </c>
      <c r="E432" s="13" t="n">
        <v>0.0521088406006364</v>
      </c>
      <c r="F432" s="13" t="n">
        <v>5.2</v>
      </c>
      <c r="G432" s="13">
        <f>D432+F432</f>
        <v/>
      </c>
      <c r="H432" s="13">
        <f>E432+F432</f>
        <v/>
      </c>
      <c r="I432" s="13">
        <f>ABS(D432-E432)</f>
        <v/>
      </c>
      <c r="J432" s="13">
        <f>(D432-E432)^2</f>
        <v/>
      </c>
      <c r="K432" s="14">
        <f>IF(ABS(G432)&lt;=1E-8,"",ABS((G432-H432)/G432))</f>
        <v/>
      </c>
    </row>
    <row r="433">
      <c r="A433" s="11" t="n">
        <v>46022</v>
      </c>
      <c r="B433" s="12" t="inlineStr">
        <is>
          <t>IT</t>
        </is>
      </c>
      <c r="C433" s="12" t="inlineStr">
        <is>
          <t>LightGBM</t>
        </is>
      </c>
      <c r="D433" s="13" t="n">
        <v>-0.1000000000000005</v>
      </c>
      <c r="E433" s="13" t="n">
        <v>-0.0503509304233231</v>
      </c>
      <c r="F433" s="13" t="n">
        <v>5.7</v>
      </c>
      <c r="G433" s="13">
        <f>D433+F433</f>
        <v/>
      </c>
      <c r="H433" s="13">
        <f>E433+F433</f>
        <v/>
      </c>
      <c r="I433" s="13">
        <f>ABS(D433-E433)</f>
        <v/>
      </c>
      <c r="J433" s="13">
        <f>(D433-E433)^2</f>
        <v/>
      </c>
      <c r="K433" s="14">
        <f>IF(ABS(G433)&lt;=1E-8,"",ABS((G433-H433)/G433))</f>
        <v/>
      </c>
    </row>
    <row r="434">
      <c r="A434" s="11" t="n">
        <v>46022</v>
      </c>
      <c r="B434" s="12" t="inlineStr">
        <is>
          <t>JP</t>
        </is>
      </c>
      <c r="C434" s="12" t="inlineStr">
        <is>
          <t>LightGBM</t>
        </is>
      </c>
      <c r="D434" s="13" t="n">
        <v>0</v>
      </c>
      <c r="E434" s="13" t="n">
        <v>-0.0026060690326964</v>
      </c>
      <c r="F434" s="13" t="n">
        <v>2.6</v>
      </c>
      <c r="G434" s="13">
        <f>D434+F434</f>
        <v/>
      </c>
      <c r="H434" s="13">
        <f>E434+F434</f>
        <v/>
      </c>
      <c r="I434" s="13">
        <f>ABS(D434-E434)</f>
        <v/>
      </c>
      <c r="J434" s="13">
        <f>(D434-E434)^2</f>
        <v/>
      </c>
      <c r="K434" s="14">
        <f>IF(ABS(G434)&lt;=1E-8,"",ABS((G434-H434)/G434))</f>
        <v/>
      </c>
    </row>
    <row r="435">
      <c r="A435" s="11" t="n">
        <v>46022</v>
      </c>
      <c r="B435" s="12" t="inlineStr">
        <is>
          <t>KR</t>
        </is>
      </c>
      <c r="C435" s="12" t="inlineStr">
        <is>
          <t>LightGBM</t>
        </is>
      </c>
      <c r="D435" s="13" t="n">
        <v>0.5</v>
      </c>
      <c r="E435" s="13" t="n">
        <v>0.0259674918406151</v>
      </c>
      <c r="F435" s="13" t="n">
        <v>2.8</v>
      </c>
      <c r="G435" s="13">
        <f>D435+F435</f>
        <v/>
      </c>
      <c r="H435" s="13">
        <f>E435+F435</f>
        <v/>
      </c>
      <c r="I435" s="13">
        <f>ABS(D435-E435)</f>
        <v/>
      </c>
      <c r="J435" s="13">
        <f>(D435-E435)^2</f>
        <v/>
      </c>
      <c r="K435" s="14">
        <f>IF(ABS(G435)&lt;=1E-8,"",ABS((G435-H435)/G435))</f>
        <v/>
      </c>
    </row>
    <row r="436">
      <c r="A436" s="11" t="n">
        <v>46022</v>
      </c>
      <c r="B436" s="12" t="inlineStr">
        <is>
          <t>US</t>
        </is>
      </c>
      <c r="C436" s="12" t="inlineStr">
        <is>
          <t>LightGBM</t>
        </is>
      </c>
      <c r="D436" s="13" t="n">
        <v>-0.0999999999999996</v>
      </c>
      <c r="E436" s="13" t="n">
        <v>0.0172884165393231</v>
      </c>
      <c r="F436" s="13" t="n">
        <v>4.5</v>
      </c>
      <c r="G436" s="13">
        <f>D436+F436</f>
        <v/>
      </c>
      <c r="H436" s="13">
        <f>E436+F436</f>
        <v/>
      </c>
      <c r="I436" s="13">
        <f>ABS(D436-E436)</f>
        <v/>
      </c>
      <c r="J436" s="13">
        <f>(D436-E436)^2</f>
        <v/>
      </c>
      <c r="K436" s="14">
        <f>IF(ABS(G436)&lt;=1E-8,"",ABS((G436-H436)/G436))</f>
        <v/>
      </c>
    </row>
    <row r="437">
      <c r="A437" s="11" t="n">
        <v>45322</v>
      </c>
      <c r="B437" s="12" t="inlineStr">
        <is>
          <t>AU</t>
        </is>
      </c>
      <c r="C437" s="12" t="inlineStr">
        <is>
          <t>XGBoost</t>
        </is>
      </c>
      <c r="D437" s="13" t="n">
        <v>0.1054659999999998</v>
      </c>
      <c r="E437" s="13" t="n">
        <v>-0.0091970963403582</v>
      </c>
      <c r="F437" s="13" t="n">
        <v>3.987057</v>
      </c>
      <c r="G437" s="13">
        <f>D437+F437</f>
        <v/>
      </c>
      <c r="H437" s="13">
        <f>E437+F437</f>
        <v/>
      </c>
      <c r="I437" s="13">
        <f>ABS(D437-E437)</f>
        <v/>
      </c>
      <c r="J437" s="13">
        <f>(D437-E437)^2</f>
        <v/>
      </c>
      <c r="K437" s="14">
        <f>IF(ABS(G437)&lt;=1E-8,"",ABS((G437-H437)/G437))</f>
        <v/>
      </c>
    </row>
    <row r="438">
      <c r="A438" s="11" t="n">
        <v>45322</v>
      </c>
      <c r="B438" s="12" t="inlineStr">
        <is>
          <t>CA</t>
        </is>
      </c>
      <c r="C438" s="12" t="inlineStr">
        <is>
          <t>XGBoost</t>
        </is>
      </c>
      <c r="D438" s="13" t="n">
        <v>-0.0999999999999996</v>
      </c>
      <c r="E438" s="13" t="n">
        <v>-0.0363881587982177</v>
      </c>
      <c r="F438" s="13" t="n">
        <v>5.8</v>
      </c>
      <c r="G438" s="13">
        <f>D438+F438</f>
        <v/>
      </c>
      <c r="H438" s="13">
        <f>E438+F438</f>
        <v/>
      </c>
      <c r="I438" s="13">
        <f>ABS(D438-E438)</f>
        <v/>
      </c>
      <c r="J438" s="13">
        <f>(D438-E438)^2</f>
        <v/>
      </c>
      <c r="K438" s="14">
        <f>IF(ABS(G438)&lt;=1E-8,"",ABS((G438-H438)/G438))</f>
        <v/>
      </c>
    </row>
    <row r="439">
      <c r="A439" s="11" t="n">
        <v>45322</v>
      </c>
      <c r="B439" s="12" t="inlineStr">
        <is>
          <t>DE</t>
        </is>
      </c>
      <c r="C439" s="12" t="inlineStr">
        <is>
          <t>XGBoost</t>
        </is>
      </c>
      <c r="D439" s="13" t="n">
        <v>0</v>
      </c>
      <c r="E439" s="13" t="n">
        <v>0.0071614813059568</v>
      </c>
      <c r="F439" s="13" t="n">
        <v>3.2</v>
      </c>
      <c r="G439" s="13">
        <f>D439+F439</f>
        <v/>
      </c>
      <c r="H439" s="13">
        <f>E439+F439</f>
        <v/>
      </c>
      <c r="I439" s="13">
        <f>ABS(D439-E439)</f>
        <v/>
      </c>
      <c r="J439" s="13">
        <f>(D439-E439)^2</f>
        <v/>
      </c>
      <c r="K439" s="14">
        <f>IF(ABS(G439)&lt;=1E-8,"",ABS((G439-H439)/G439))</f>
        <v/>
      </c>
    </row>
    <row r="440">
      <c r="A440" s="11" t="n">
        <v>45322</v>
      </c>
      <c r="B440" s="12" t="inlineStr">
        <is>
          <t>FR</t>
        </is>
      </c>
      <c r="C440" s="12" t="inlineStr">
        <is>
          <t>XGBoost</t>
        </is>
      </c>
      <c r="D440" s="13" t="n">
        <v>0</v>
      </c>
      <c r="E440" s="13" t="n">
        <v>-0.0003075816493947</v>
      </c>
      <c r="F440" s="13" t="n">
        <v>7.6</v>
      </c>
      <c r="G440" s="13">
        <f>D440+F440</f>
        <v/>
      </c>
      <c r="H440" s="13">
        <f>E440+F440</f>
        <v/>
      </c>
      <c r="I440" s="13">
        <f>ABS(D440-E440)</f>
        <v/>
      </c>
      <c r="J440" s="13">
        <f>(D440-E440)^2</f>
        <v/>
      </c>
      <c r="K440" s="14">
        <f>IF(ABS(G440)&lt;=1E-8,"",ABS((G440-H440)/G440))</f>
        <v/>
      </c>
    </row>
    <row r="441">
      <c r="A441" s="11" t="n">
        <v>45322</v>
      </c>
      <c r="B441" s="12" t="inlineStr">
        <is>
          <t>GB</t>
        </is>
      </c>
      <c r="C441" s="12" t="inlineStr">
        <is>
          <t>XGBoost</t>
        </is>
      </c>
      <c r="D441" s="13" t="n">
        <v>0.1000000000000005</v>
      </c>
      <c r="E441" s="13" t="n">
        <v>-0.0203224346041679</v>
      </c>
      <c r="F441" s="13" t="n">
        <v>4.1</v>
      </c>
      <c r="G441" s="13">
        <f>D441+F441</f>
        <v/>
      </c>
      <c r="H441" s="13">
        <f>E441+F441</f>
        <v/>
      </c>
      <c r="I441" s="13">
        <f>ABS(D441-E441)</f>
        <v/>
      </c>
      <c r="J441" s="13">
        <f>(D441-E441)^2</f>
        <v/>
      </c>
      <c r="K441" s="14">
        <f>IF(ABS(G441)&lt;=1E-8,"",ABS((G441-H441)/G441))</f>
        <v/>
      </c>
    </row>
    <row r="442">
      <c r="A442" s="11" t="n">
        <v>45322</v>
      </c>
      <c r="B442" s="12" t="inlineStr">
        <is>
          <t>IT</t>
        </is>
      </c>
      <c r="C442" s="12" t="inlineStr">
        <is>
          <t>XGBoost</t>
        </is>
      </c>
      <c r="D442" s="13" t="n">
        <v>0</v>
      </c>
      <c r="E442" s="13" t="n">
        <v>-0.0270118918269872</v>
      </c>
      <c r="F442" s="13" t="n">
        <v>7.1</v>
      </c>
      <c r="G442" s="13">
        <f>D442+F442</f>
        <v/>
      </c>
      <c r="H442" s="13">
        <f>E442+F442</f>
        <v/>
      </c>
      <c r="I442" s="13">
        <f>ABS(D442-E442)</f>
        <v/>
      </c>
      <c r="J442" s="13">
        <f>(D442-E442)^2</f>
        <v/>
      </c>
      <c r="K442" s="14">
        <f>IF(ABS(G442)&lt;=1E-8,"",ABS((G442-H442)/G442))</f>
        <v/>
      </c>
    </row>
    <row r="443">
      <c r="A443" s="11" t="n">
        <v>45322</v>
      </c>
      <c r="B443" s="12" t="inlineStr">
        <is>
          <t>JP</t>
        </is>
      </c>
      <c r="C443" s="12" t="inlineStr">
        <is>
          <t>XGBoost</t>
        </is>
      </c>
      <c r="D443" s="13" t="n">
        <v>0</v>
      </c>
      <c r="E443" s="13" t="n">
        <v>-0.0005727925454266</v>
      </c>
      <c r="F443" s="13" t="n">
        <v>2.5</v>
      </c>
      <c r="G443" s="13">
        <f>D443+F443</f>
        <v/>
      </c>
      <c r="H443" s="13">
        <f>E443+F443</f>
        <v/>
      </c>
      <c r="I443" s="13">
        <f>ABS(D443-E443)</f>
        <v/>
      </c>
      <c r="J443" s="13">
        <f>(D443-E443)^2</f>
        <v/>
      </c>
      <c r="K443" s="14">
        <f>IF(ABS(G443)&lt;=1E-8,"",ABS((G443-H443)/G443))</f>
        <v/>
      </c>
    </row>
    <row r="444">
      <c r="A444" s="11" t="n">
        <v>45322</v>
      </c>
      <c r="B444" s="12" t="inlineStr">
        <is>
          <t>KR</t>
        </is>
      </c>
      <c r="C444" s="12" t="inlineStr">
        <is>
          <t>XGBoost</t>
        </is>
      </c>
      <c r="D444" s="13" t="n">
        <v>0</v>
      </c>
      <c r="E444" s="13" t="n">
        <v>0.0484388768672943</v>
      </c>
      <c r="F444" s="13" t="n">
        <v>2.8</v>
      </c>
      <c r="G444" s="13">
        <f>D444+F444</f>
        <v/>
      </c>
      <c r="H444" s="13">
        <f>E444+F444</f>
        <v/>
      </c>
      <c r="I444" s="13">
        <f>ABS(D444-E444)</f>
        <v/>
      </c>
      <c r="J444" s="13">
        <f>(D444-E444)^2</f>
        <v/>
      </c>
      <c r="K444" s="14">
        <f>IF(ABS(G444)&lt;=1E-8,"",ABS((G444-H444)/G444))</f>
        <v/>
      </c>
    </row>
    <row r="445">
      <c r="A445" s="11" t="n">
        <v>45322</v>
      </c>
      <c r="B445" s="12" t="inlineStr">
        <is>
          <t>US</t>
        </is>
      </c>
      <c r="C445" s="12" t="inlineStr">
        <is>
          <t>XGBoost</t>
        </is>
      </c>
      <c r="D445" s="13" t="n">
        <v>-0.0999999999999996</v>
      </c>
      <c r="E445" s="13" t="n">
        <v>-0.0233421698212623</v>
      </c>
      <c r="F445" s="13" t="n">
        <v>3.8</v>
      </c>
      <c r="G445" s="13">
        <f>D445+F445</f>
        <v/>
      </c>
      <c r="H445" s="13">
        <f>E445+F445</f>
        <v/>
      </c>
      <c r="I445" s="13">
        <f>ABS(D445-E445)</f>
        <v/>
      </c>
      <c r="J445" s="13">
        <f>(D445-E445)^2</f>
        <v/>
      </c>
      <c r="K445" s="14">
        <f>IF(ABS(G445)&lt;=1E-8,"",ABS((G445-H445)/G445))</f>
        <v/>
      </c>
    </row>
    <row r="446">
      <c r="A446" s="11" t="n">
        <v>45351</v>
      </c>
      <c r="B446" s="12" t="inlineStr">
        <is>
          <t>AU</t>
        </is>
      </c>
      <c r="C446" s="12" t="inlineStr">
        <is>
          <t>XGBoost</t>
        </is>
      </c>
      <c r="D446" s="13" t="n">
        <v>-0.3511820000000001</v>
      </c>
      <c r="E446" s="13" t="n">
        <v>0.0122857233509421</v>
      </c>
      <c r="F446" s="13" t="n">
        <v>4.092523</v>
      </c>
      <c r="G446" s="13">
        <f>D446+F446</f>
        <v/>
      </c>
      <c r="H446" s="13">
        <f>E446+F446</f>
        <v/>
      </c>
      <c r="I446" s="13">
        <f>ABS(D446-E446)</f>
        <v/>
      </c>
      <c r="J446" s="13">
        <f>(D446-E446)^2</f>
        <v/>
      </c>
      <c r="K446" s="14">
        <f>IF(ABS(G446)&lt;=1E-8,"",ABS((G446-H446)/G446))</f>
        <v/>
      </c>
    </row>
    <row r="447">
      <c r="A447" s="11" t="n">
        <v>45351</v>
      </c>
      <c r="B447" s="12" t="inlineStr">
        <is>
          <t>CA</t>
        </is>
      </c>
      <c r="C447" s="12" t="inlineStr">
        <is>
          <t>XGBoost</t>
        </is>
      </c>
      <c r="D447" s="13" t="n">
        <v>0.2000000000000001</v>
      </c>
      <c r="E447" s="13" t="n">
        <v>-0.0282877851277589</v>
      </c>
      <c r="F447" s="13" t="n">
        <v>5.7</v>
      </c>
      <c r="G447" s="13">
        <f>D447+F447</f>
        <v/>
      </c>
      <c r="H447" s="13">
        <f>E447+F447</f>
        <v/>
      </c>
      <c r="I447" s="13">
        <f>ABS(D447-E447)</f>
        <v/>
      </c>
      <c r="J447" s="13">
        <f>(D447-E447)^2</f>
        <v/>
      </c>
      <c r="K447" s="14">
        <f>IF(ABS(G447)&lt;=1E-8,"",ABS((G447-H447)/G447))</f>
        <v/>
      </c>
    </row>
    <row r="448">
      <c r="A448" s="11" t="n">
        <v>45351</v>
      </c>
      <c r="B448" s="12" t="inlineStr">
        <is>
          <t>DE</t>
        </is>
      </c>
      <c r="C448" s="12" t="inlineStr">
        <is>
          <t>XGBoost</t>
        </is>
      </c>
      <c r="D448" s="13" t="n">
        <v>0</v>
      </c>
      <c r="E448" s="13" t="n">
        <v>0.0090150162577629</v>
      </c>
      <c r="F448" s="13" t="n">
        <v>3.2</v>
      </c>
      <c r="G448" s="13">
        <f>D448+F448</f>
        <v/>
      </c>
      <c r="H448" s="13">
        <f>E448+F448</f>
        <v/>
      </c>
      <c r="I448" s="13">
        <f>ABS(D448-E448)</f>
        <v/>
      </c>
      <c r="J448" s="13">
        <f>(D448-E448)^2</f>
        <v/>
      </c>
      <c r="K448" s="14">
        <f>IF(ABS(G448)&lt;=1E-8,"",ABS((G448-H448)/G448))</f>
        <v/>
      </c>
    </row>
    <row r="449">
      <c r="A449" s="11" t="n">
        <v>45351</v>
      </c>
      <c r="B449" s="12" t="inlineStr">
        <is>
          <t>FR</t>
        </is>
      </c>
      <c r="C449" s="12" t="inlineStr">
        <is>
          <t>XGBoost</t>
        </is>
      </c>
      <c r="D449" s="13" t="n">
        <v>-0.0999999999999996</v>
      </c>
      <c r="E449" s="13" t="n">
        <v>-0.0050487099215388</v>
      </c>
      <c r="F449" s="13" t="n">
        <v>7.6</v>
      </c>
      <c r="G449" s="13">
        <f>D449+F449</f>
        <v/>
      </c>
      <c r="H449" s="13">
        <f>E449+F449</f>
        <v/>
      </c>
      <c r="I449" s="13">
        <f>ABS(D449-E449)</f>
        <v/>
      </c>
      <c r="J449" s="13">
        <f>(D449-E449)^2</f>
        <v/>
      </c>
      <c r="K449" s="14">
        <f>IF(ABS(G449)&lt;=1E-8,"",ABS((G449-H449)/G449))</f>
        <v/>
      </c>
    </row>
    <row r="450">
      <c r="A450" s="11" t="n">
        <v>45351</v>
      </c>
      <c r="B450" s="12" t="inlineStr">
        <is>
          <t>GB</t>
        </is>
      </c>
      <c r="C450" s="12" t="inlineStr">
        <is>
          <t>XGBoost</t>
        </is>
      </c>
      <c r="D450" s="13" t="n">
        <v>0.0999999999999996</v>
      </c>
      <c r="E450" s="13" t="n">
        <v>-0.0167474709451198</v>
      </c>
      <c r="F450" s="13" t="n">
        <v>4.2</v>
      </c>
      <c r="G450" s="13">
        <f>D450+F450</f>
        <v/>
      </c>
      <c r="H450" s="13">
        <f>E450+F450</f>
        <v/>
      </c>
      <c r="I450" s="13">
        <f>ABS(D450-E450)</f>
        <v/>
      </c>
      <c r="J450" s="13">
        <f>(D450-E450)^2</f>
        <v/>
      </c>
      <c r="K450" s="14">
        <f>IF(ABS(G450)&lt;=1E-8,"",ABS((G450-H450)/G450))</f>
        <v/>
      </c>
    </row>
    <row r="451">
      <c r="A451" s="11" t="n">
        <v>45351</v>
      </c>
      <c r="B451" s="12" t="inlineStr">
        <is>
          <t>IT</t>
        </is>
      </c>
      <c r="C451" s="12" t="inlineStr">
        <is>
          <t>XGBoost</t>
        </is>
      </c>
      <c r="D451" s="13" t="n">
        <v>0.2000000000000001</v>
      </c>
      <c r="E451" s="13" t="n">
        <v>-0.0377524830400943</v>
      </c>
      <c r="F451" s="13" t="n">
        <v>7.1</v>
      </c>
      <c r="G451" s="13">
        <f>D451+F451</f>
        <v/>
      </c>
      <c r="H451" s="13">
        <f>E451+F451</f>
        <v/>
      </c>
      <c r="I451" s="13">
        <f>ABS(D451-E451)</f>
        <v/>
      </c>
      <c r="J451" s="13">
        <f>(D451-E451)^2</f>
        <v/>
      </c>
      <c r="K451" s="14">
        <f>IF(ABS(G451)&lt;=1E-8,"",ABS((G451-H451)/G451))</f>
        <v/>
      </c>
    </row>
    <row r="452">
      <c r="A452" s="11" t="n">
        <v>45351</v>
      </c>
      <c r="B452" s="12" t="inlineStr">
        <is>
          <t>JP</t>
        </is>
      </c>
      <c r="C452" s="12" t="inlineStr">
        <is>
          <t>XGBoost</t>
        </is>
      </c>
      <c r="D452" s="13" t="n">
        <v>0.1</v>
      </c>
      <c r="E452" s="13" t="n">
        <v>-0.0097572747617959</v>
      </c>
      <c r="F452" s="13" t="n">
        <v>2.5</v>
      </c>
      <c r="G452" s="13">
        <f>D452+F452</f>
        <v/>
      </c>
      <c r="H452" s="13">
        <f>E452+F452</f>
        <v/>
      </c>
      <c r="I452" s="13">
        <f>ABS(D452-E452)</f>
        <v/>
      </c>
      <c r="J452" s="13">
        <f>(D452-E452)^2</f>
        <v/>
      </c>
      <c r="K452" s="14">
        <f>IF(ABS(G452)&lt;=1E-8,"",ABS((G452-H452)/G452))</f>
        <v/>
      </c>
    </row>
    <row r="453">
      <c r="A453" s="11" t="n">
        <v>45351</v>
      </c>
      <c r="B453" s="12" t="inlineStr">
        <is>
          <t>KR</t>
        </is>
      </c>
      <c r="C453" s="12" t="inlineStr">
        <is>
          <t>XGBoost</t>
        </is>
      </c>
      <c r="D453" s="13" t="n">
        <v>-0.0999999999999996</v>
      </c>
      <c r="E453" s="13" t="n">
        <v>0.0372308306396007</v>
      </c>
      <c r="F453" s="13" t="n">
        <v>2.8</v>
      </c>
      <c r="G453" s="13">
        <f>D453+F453</f>
        <v/>
      </c>
      <c r="H453" s="13">
        <f>E453+F453</f>
        <v/>
      </c>
      <c r="I453" s="13">
        <f>ABS(D453-E453)</f>
        <v/>
      </c>
      <c r="J453" s="13">
        <f>(D453-E453)^2</f>
        <v/>
      </c>
      <c r="K453" s="14">
        <f>IF(ABS(G453)&lt;=1E-8,"",ABS((G453-H453)/G453))</f>
        <v/>
      </c>
    </row>
    <row r="454">
      <c r="A454" s="11" t="n">
        <v>45351</v>
      </c>
      <c r="B454" s="12" t="inlineStr">
        <is>
          <t>US</t>
        </is>
      </c>
      <c r="C454" s="12" t="inlineStr">
        <is>
          <t>XGBoost</t>
        </is>
      </c>
      <c r="D454" s="13" t="n">
        <v>0.1999999999999997</v>
      </c>
      <c r="E454" s="13" t="n">
        <v>-0.020417395979166</v>
      </c>
      <c r="F454" s="13" t="n">
        <v>3.7</v>
      </c>
      <c r="G454" s="13">
        <f>D454+F454</f>
        <v/>
      </c>
      <c r="H454" s="13">
        <f>E454+F454</f>
        <v/>
      </c>
      <c r="I454" s="13">
        <f>ABS(D454-E454)</f>
        <v/>
      </c>
      <c r="J454" s="13">
        <f>(D454-E454)^2</f>
        <v/>
      </c>
      <c r="K454" s="14">
        <f>IF(ABS(G454)&lt;=1E-8,"",ABS((G454-H454)/G454))</f>
        <v/>
      </c>
    </row>
    <row r="455">
      <c r="A455" s="11" t="n">
        <v>45382</v>
      </c>
      <c r="B455" s="12" t="inlineStr">
        <is>
          <t>AU</t>
        </is>
      </c>
      <c r="C455" s="12" t="inlineStr">
        <is>
          <t>XGBoost</t>
        </is>
      </c>
      <c r="D455" s="13" t="n">
        <v>0.158709</v>
      </c>
      <c r="E455" s="13" t="n">
        <v>-0.0091601125895977</v>
      </c>
      <c r="F455" s="13" t="n">
        <v>3.741341</v>
      </c>
      <c r="G455" s="13">
        <f>D455+F455</f>
        <v/>
      </c>
      <c r="H455" s="13">
        <f>E455+F455</f>
        <v/>
      </c>
      <c r="I455" s="13">
        <f>ABS(D455-E455)</f>
        <v/>
      </c>
      <c r="J455" s="13">
        <f>(D455-E455)^2</f>
        <v/>
      </c>
      <c r="K455" s="14">
        <f>IF(ABS(G455)&lt;=1E-8,"",ABS((G455-H455)/G455))</f>
        <v/>
      </c>
    </row>
    <row r="456">
      <c r="A456" s="11" t="n">
        <v>45382</v>
      </c>
      <c r="B456" s="12" t="inlineStr">
        <is>
          <t>CA</t>
        </is>
      </c>
      <c r="C456" s="12" t="inlineStr">
        <is>
          <t>XGBoost</t>
        </is>
      </c>
      <c r="D456" s="13" t="n">
        <v>0.1999999999999993</v>
      </c>
      <c r="E456" s="13" t="n">
        <v>-0.02085473947227</v>
      </c>
      <c r="F456" s="13" t="n">
        <v>5.9</v>
      </c>
      <c r="G456" s="13">
        <f>D456+F456</f>
        <v/>
      </c>
      <c r="H456" s="13">
        <f>E456+F456</f>
        <v/>
      </c>
      <c r="I456" s="13">
        <f>ABS(D456-E456)</f>
        <v/>
      </c>
      <c r="J456" s="13">
        <f>(D456-E456)^2</f>
        <v/>
      </c>
      <c r="K456" s="14">
        <f>IF(ABS(G456)&lt;=1E-8,"",ABS((G456-H456)/G456))</f>
        <v/>
      </c>
    </row>
    <row r="457">
      <c r="A457" s="11" t="n">
        <v>45382</v>
      </c>
      <c r="B457" s="12" t="inlineStr">
        <is>
          <t>DE</t>
        </is>
      </c>
      <c r="C457" s="12" t="inlineStr">
        <is>
          <t>XGBoost</t>
        </is>
      </c>
      <c r="D457" s="13" t="n">
        <v>0.0999999999999996</v>
      </c>
      <c r="E457" s="13" t="n">
        <v>0.0118176927790045</v>
      </c>
      <c r="F457" s="13" t="n">
        <v>3.2</v>
      </c>
      <c r="G457" s="13">
        <f>D457+F457</f>
        <v/>
      </c>
      <c r="H457" s="13">
        <f>E457+F457</f>
        <v/>
      </c>
      <c r="I457" s="13">
        <f>ABS(D457-E457)</f>
        <v/>
      </c>
      <c r="J457" s="13">
        <f>(D457-E457)^2</f>
        <v/>
      </c>
      <c r="K457" s="14">
        <f>IF(ABS(G457)&lt;=1E-8,"",ABS((G457-H457)/G457))</f>
        <v/>
      </c>
    </row>
    <row r="458">
      <c r="A458" s="11" t="n">
        <v>45382</v>
      </c>
      <c r="B458" s="12" t="inlineStr">
        <is>
          <t>FR</t>
        </is>
      </c>
      <c r="C458" s="12" t="inlineStr">
        <is>
          <t>XGBoost</t>
        </is>
      </c>
      <c r="D458" s="13" t="n">
        <v>-0.0999999999999996</v>
      </c>
      <c r="E458" s="13" t="n">
        <v>0.0075019411742687</v>
      </c>
      <c r="F458" s="13" t="n">
        <v>7.5</v>
      </c>
      <c r="G458" s="13">
        <f>D458+F458</f>
        <v/>
      </c>
      <c r="H458" s="13">
        <f>E458+F458</f>
        <v/>
      </c>
      <c r="I458" s="13">
        <f>ABS(D458-E458)</f>
        <v/>
      </c>
      <c r="J458" s="13">
        <f>(D458-E458)^2</f>
        <v/>
      </c>
      <c r="K458" s="14">
        <f>IF(ABS(G458)&lt;=1E-8,"",ABS((G458-H458)/G458))</f>
        <v/>
      </c>
    </row>
    <row r="459">
      <c r="A459" s="11" t="n">
        <v>45382</v>
      </c>
      <c r="B459" s="12" t="inlineStr">
        <is>
          <t>GB</t>
        </is>
      </c>
      <c r="C459" s="12" t="inlineStr">
        <is>
          <t>XGBoost</t>
        </is>
      </c>
      <c r="D459" s="13" t="n">
        <v>0.1000000000000005</v>
      </c>
      <c r="E459" s="13" t="n">
        <v>0.0080809015780687</v>
      </c>
      <c r="F459" s="13" t="n">
        <v>4.3</v>
      </c>
      <c r="G459" s="13">
        <f>D459+F459</f>
        <v/>
      </c>
      <c r="H459" s="13">
        <f>E459+F459</f>
        <v/>
      </c>
      <c r="I459" s="13">
        <f>ABS(D459-E459)</f>
        <v/>
      </c>
      <c r="J459" s="13">
        <f>(D459-E459)^2</f>
        <v/>
      </c>
      <c r="K459" s="14">
        <f>IF(ABS(G459)&lt;=1E-8,"",ABS((G459-H459)/G459))</f>
        <v/>
      </c>
    </row>
    <row r="460">
      <c r="A460" s="11" t="n">
        <v>45382</v>
      </c>
      <c r="B460" s="12" t="inlineStr">
        <is>
          <t>IT</t>
        </is>
      </c>
      <c r="C460" s="12" t="inlineStr">
        <is>
          <t>XGBoost</t>
        </is>
      </c>
      <c r="D460" s="13" t="n">
        <v>-0.3999999999999994</v>
      </c>
      <c r="E460" s="13" t="n">
        <v>-0.0206425134092569</v>
      </c>
      <c r="F460" s="13" t="n">
        <v>7.3</v>
      </c>
      <c r="G460" s="13">
        <f>D460+F460</f>
        <v/>
      </c>
      <c r="H460" s="13">
        <f>E460+F460</f>
        <v/>
      </c>
      <c r="I460" s="13">
        <f>ABS(D460-E460)</f>
        <v/>
      </c>
      <c r="J460" s="13">
        <f>(D460-E460)^2</f>
        <v/>
      </c>
      <c r="K460" s="14">
        <f>IF(ABS(G460)&lt;=1E-8,"",ABS((G460-H460)/G460))</f>
        <v/>
      </c>
    </row>
    <row r="461">
      <c r="A461" s="11" t="n">
        <v>45382</v>
      </c>
      <c r="B461" s="12" t="inlineStr">
        <is>
          <t>JP</t>
        </is>
      </c>
      <c r="C461" s="12" t="inlineStr">
        <is>
          <t>XGBoost</t>
        </is>
      </c>
      <c r="D461" s="13" t="n">
        <v>0</v>
      </c>
      <c r="E461" s="13" t="n">
        <v>-0.0045644929632544</v>
      </c>
      <c r="F461" s="13" t="n">
        <v>2.6</v>
      </c>
      <c r="G461" s="13">
        <f>D461+F461</f>
        <v/>
      </c>
      <c r="H461" s="13">
        <f>E461+F461</f>
        <v/>
      </c>
      <c r="I461" s="13">
        <f>ABS(D461-E461)</f>
        <v/>
      </c>
      <c r="J461" s="13">
        <f>(D461-E461)^2</f>
        <v/>
      </c>
      <c r="K461" s="14">
        <f>IF(ABS(G461)&lt;=1E-8,"",ABS((G461-H461)/G461))</f>
        <v/>
      </c>
    </row>
    <row r="462">
      <c r="A462" s="11" t="n">
        <v>45382</v>
      </c>
      <c r="B462" s="12" t="inlineStr">
        <is>
          <t>KR</t>
        </is>
      </c>
      <c r="C462" s="12" t="inlineStr">
        <is>
          <t>XGBoost</t>
        </is>
      </c>
      <c r="D462" s="13" t="n">
        <v>0.0999999999999996</v>
      </c>
      <c r="E462" s="13" t="n">
        <v>0.0243684854358434</v>
      </c>
      <c r="F462" s="13" t="n">
        <v>2.7</v>
      </c>
      <c r="G462" s="13">
        <f>D462+F462</f>
        <v/>
      </c>
      <c r="H462" s="13">
        <f>E462+F462</f>
        <v/>
      </c>
      <c r="I462" s="13">
        <f>ABS(D462-E462)</f>
        <v/>
      </c>
      <c r="J462" s="13">
        <f>(D462-E462)^2</f>
        <v/>
      </c>
      <c r="K462" s="14">
        <f>IF(ABS(G462)&lt;=1E-8,"",ABS((G462-H462)/G462))</f>
        <v/>
      </c>
    </row>
    <row r="463">
      <c r="A463" s="11" t="n">
        <v>45382</v>
      </c>
      <c r="B463" s="12" t="inlineStr">
        <is>
          <t>US</t>
        </is>
      </c>
      <c r="C463" s="12" t="inlineStr">
        <is>
          <t>XGBoost</t>
        </is>
      </c>
      <c r="D463" s="13" t="n">
        <v>0</v>
      </c>
      <c r="E463" s="13" t="n">
        <v>-0.012254380621016</v>
      </c>
      <c r="F463" s="13" t="n">
        <v>3.9</v>
      </c>
      <c r="G463" s="13">
        <f>D463+F463</f>
        <v/>
      </c>
      <c r="H463" s="13">
        <f>E463+F463</f>
        <v/>
      </c>
      <c r="I463" s="13">
        <f>ABS(D463-E463)</f>
        <v/>
      </c>
      <c r="J463" s="13">
        <f>(D463-E463)^2</f>
        <v/>
      </c>
      <c r="K463" s="14">
        <f>IF(ABS(G463)&lt;=1E-8,"",ABS((G463-H463)/G463))</f>
        <v/>
      </c>
    </row>
    <row r="464">
      <c r="A464" s="11" t="n">
        <v>45412</v>
      </c>
      <c r="B464" s="12" t="inlineStr">
        <is>
          <t>AU</t>
        </is>
      </c>
      <c r="C464" s="12" t="inlineStr">
        <is>
          <t>XGBoost</t>
        </is>
      </c>
      <c r="D464" s="13" t="n">
        <v>0.1814180000000003</v>
      </c>
      <c r="E464" s="13" t="n">
        <v>-0.0036717772018164</v>
      </c>
      <c r="F464" s="13" t="n">
        <v>3.90005</v>
      </c>
      <c r="G464" s="13">
        <f>D464+F464</f>
        <v/>
      </c>
      <c r="H464" s="13">
        <f>E464+F464</f>
        <v/>
      </c>
      <c r="I464" s="13">
        <f>ABS(D464-E464)</f>
        <v/>
      </c>
      <c r="J464" s="13">
        <f>(D464-E464)^2</f>
        <v/>
      </c>
      <c r="K464" s="14">
        <f>IF(ABS(G464)&lt;=1E-8,"",ABS((G464-H464)/G464))</f>
        <v/>
      </c>
    </row>
    <row r="465">
      <c r="A465" s="11" t="n">
        <v>45412</v>
      </c>
      <c r="B465" s="12" t="inlineStr">
        <is>
          <t>CA</t>
        </is>
      </c>
      <c r="C465" s="12" t="inlineStr">
        <is>
          <t>XGBoost</t>
        </is>
      </c>
      <c r="D465" s="13" t="n">
        <v>0.1000000000000005</v>
      </c>
      <c r="E465" s="13" t="n">
        <v>-0.0286745280027389</v>
      </c>
      <c r="F465" s="13" t="n">
        <v>6.1</v>
      </c>
      <c r="G465" s="13">
        <f>D465+F465</f>
        <v/>
      </c>
      <c r="H465" s="13">
        <f>E465+F465</f>
        <v/>
      </c>
      <c r="I465" s="13">
        <f>ABS(D465-E465)</f>
        <v/>
      </c>
      <c r="J465" s="13">
        <f>(D465-E465)^2</f>
        <v/>
      </c>
      <c r="K465" s="14">
        <f>IF(ABS(G465)&lt;=1E-8,"",ABS((G465-H465)/G465))</f>
        <v/>
      </c>
    </row>
    <row r="466">
      <c r="A466" s="11" t="n">
        <v>45412</v>
      </c>
      <c r="B466" s="12" t="inlineStr">
        <is>
          <t>DE</t>
        </is>
      </c>
      <c r="C466" s="12" t="inlineStr">
        <is>
          <t>XGBoost</t>
        </is>
      </c>
      <c r="D466" s="13" t="n">
        <v>0.1</v>
      </c>
      <c r="E466" s="13" t="n">
        <v>0.0260729286819696</v>
      </c>
      <c r="F466" s="13" t="n">
        <v>3.3</v>
      </c>
      <c r="G466" s="13">
        <f>D466+F466</f>
        <v/>
      </c>
      <c r="H466" s="13">
        <f>E466+F466</f>
        <v/>
      </c>
      <c r="I466" s="13">
        <f>ABS(D466-E466)</f>
        <v/>
      </c>
      <c r="J466" s="13">
        <f>(D466-E466)^2</f>
        <v/>
      </c>
      <c r="K466" s="14">
        <f>IF(ABS(G466)&lt;=1E-8,"",ABS((G466-H466)/G466))</f>
        <v/>
      </c>
    </row>
    <row r="467">
      <c r="A467" s="11" t="n">
        <v>45412</v>
      </c>
      <c r="B467" s="12" t="inlineStr">
        <is>
          <t>FR</t>
        </is>
      </c>
      <c r="C467" s="12" t="inlineStr">
        <is>
          <t>XGBoost</t>
        </is>
      </c>
      <c r="D467" s="13" t="n">
        <v>0</v>
      </c>
      <c r="E467" s="13" t="n">
        <v>-0.0093794520944356</v>
      </c>
      <c r="F467" s="13" t="n">
        <v>7.4</v>
      </c>
      <c r="G467" s="13">
        <f>D467+F467</f>
        <v/>
      </c>
      <c r="H467" s="13">
        <f>E467+F467</f>
        <v/>
      </c>
      <c r="I467" s="13">
        <f>ABS(D467-E467)</f>
        <v/>
      </c>
      <c r="J467" s="13">
        <f>(D467-E467)^2</f>
        <v/>
      </c>
      <c r="K467" s="14">
        <f>IF(ABS(G467)&lt;=1E-8,"",ABS((G467-H467)/G467))</f>
        <v/>
      </c>
    </row>
    <row r="468">
      <c r="A468" s="11" t="n">
        <v>45412</v>
      </c>
      <c r="B468" s="12" t="inlineStr">
        <is>
          <t>GB</t>
        </is>
      </c>
      <c r="C468" s="12" t="inlineStr">
        <is>
          <t>XGBoost</t>
        </is>
      </c>
      <c r="D468" s="13" t="n">
        <v>0</v>
      </c>
      <c r="E468" s="13" t="n">
        <v>0.0103484652936458</v>
      </c>
      <c r="F468" s="13" t="n">
        <v>4.4</v>
      </c>
      <c r="G468" s="13">
        <f>D468+F468</f>
        <v/>
      </c>
      <c r="H468" s="13">
        <f>E468+F468</f>
        <v/>
      </c>
      <c r="I468" s="13">
        <f>ABS(D468-E468)</f>
        <v/>
      </c>
      <c r="J468" s="13">
        <f>(D468-E468)^2</f>
        <v/>
      </c>
      <c r="K468" s="14">
        <f>IF(ABS(G468)&lt;=1E-8,"",ABS((G468-H468)/G468))</f>
        <v/>
      </c>
    </row>
    <row r="469">
      <c r="A469" s="11" t="n">
        <v>45412</v>
      </c>
      <c r="B469" s="12" t="inlineStr">
        <is>
          <t>IT</t>
        </is>
      </c>
      <c r="C469" s="12" t="inlineStr">
        <is>
          <t>XGBoost</t>
        </is>
      </c>
      <c r="D469" s="13" t="n">
        <v>-0.1000000000000005</v>
      </c>
      <c r="E469" s="13" t="n">
        <v>-0.017306400462985</v>
      </c>
      <c r="F469" s="13" t="n">
        <v>6.9</v>
      </c>
      <c r="G469" s="13">
        <f>D469+F469</f>
        <v/>
      </c>
      <c r="H469" s="13">
        <f>E469+F469</f>
        <v/>
      </c>
      <c r="I469" s="13">
        <f>ABS(D469-E469)</f>
        <v/>
      </c>
      <c r="J469" s="13">
        <f>(D469-E469)^2</f>
        <v/>
      </c>
      <c r="K469" s="14">
        <f>IF(ABS(G469)&lt;=1E-8,"",ABS((G469-H469)/G469))</f>
        <v/>
      </c>
    </row>
    <row r="470">
      <c r="A470" s="11" t="n">
        <v>45412</v>
      </c>
      <c r="B470" s="12" t="inlineStr">
        <is>
          <t>JP</t>
        </is>
      </c>
      <c r="C470" s="12" t="inlineStr">
        <is>
          <t>XGBoost</t>
        </is>
      </c>
      <c r="D470" s="13" t="n">
        <v>0</v>
      </c>
      <c r="E470" s="13" t="n">
        <v>-0.004503262694925</v>
      </c>
      <c r="F470" s="13" t="n">
        <v>2.6</v>
      </c>
      <c r="G470" s="13">
        <f>D470+F470</f>
        <v/>
      </c>
      <c r="H470" s="13">
        <f>E470+F470</f>
        <v/>
      </c>
      <c r="I470" s="13">
        <f>ABS(D470-E470)</f>
        <v/>
      </c>
      <c r="J470" s="13">
        <f>(D470-E470)^2</f>
        <v/>
      </c>
      <c r="K470" s="14">
        <f>IF(ABS(G470)&lt;=1E-8,"",ABS((G470-H470)/G470))</f>
        <v/>
      </c>
    </row>
    <row r="471">
      <c r="A471" s="11" t="n">
        <v>45412</v>
      </c>
      <c r="B471" s="12" t="inlineStr">
        <is>
          <t>KR</t>
        </is>
      </c>
      <c r="C471" s="12" t="inlineStr">
        <is>
          <t>XGBoost</t>
        </is>
      </c>
      <c r="D471" s="13" t="n">
        <v>0</v>
      </c>
      <c r="E471" s="13" t="n">
        <v>0.0259779933840036</v>
      </c>
      <c r="F471" s="13" t="n">
        <v>2.8</v>
      </c>
      <c r="G471" s="13">
        <f>D471+F471</f>
        <v/>
      </c>
      <c r="H471" s="13">
        <f>E471+F471</f>
        <v/>
      </c>
      <c r="I471" s="13">
        <f>ABS(D471-E471)</f>
        <v/>
      </c>
      <c r="J471" s="13">
        <f>(D471-E471)^2</f>
        <v/>
      </c>
      <c r="K471" s="14">
        <f>IF(ABS(G471)&lt;=1E-8,"",ABS((G471-H471)/G471))</f>
        <v/>
      </c>
    </row>
    <row r="472">
      <c r="A472" s="11" t="n">
        <v>45412</v>
      </c>
      <c r="B472" s="12" t="inlineStr">
        <is>
          <t>US</t>
        </is>
      </c>
      <c r="C472" s="12" t="inlineStr">
        <is>
          <t>XGBoost</t>
        </is>
      </c>
      <c r="D472" s="13" t="n">
        <v>0</v>
      </c>
      <c r="E472" s="13" t="n">
        <v>-0.0079128565266728</v>
      </c>
      <c r="F472" s="13" t="n">
        <v>3.9</v>
      </c>
      <c r="G472" s="13">
        <f>D472+F472</f>
        <v/>
      </c>
      <c r="H472" s="13">
        <f>E472+F472</f>
        <v/>
      </c>
      <c r="I472" s="13">
        <f>ABS(D472-E472)</f>
        <v/>
      </c>
      <c r="J472" s="13">
        <f>(D472-E472)^2</f>
        <v/>
      </c>
      <c r="K472" s="14">
        <f>IF(ABS(G472)&lt;=1E-8,"",ABS((G472-H472)/G472))</f>
        <v/>
      </c>
    </row>
    <row r="473">
      <c r="A473" s="11" t="n">
        <v>45443</v>
      </c>
      <c r="B473" s="12" t="inlineStr">
        <is>
          <t>AU</t>
        </is>
      </c>
      <c r="C473" s="12" t="inlineStr">
        <is>
          <t>XGBoost</t>
        </is>
      </c>
      <c r="D473" s="13" t="n">
        <v>-0.07635600000000051</v>
      </c>
      <c r="E473" s="13" t="n">
        <v>0.0054952446371316</v>
      </c>
      <c r="F473" s="13" t="n">
        <v>4.081468</v>
      </c>
      <c r="G473" s="13">
        <f>D473+F473</f>
        <v/>
      </c>
      <c r="H473" s="13">
        <f>E473+F473</f>
        <v/>
      </c>
      <c r="I473" s="13">
        <f>ABS(D473-E473)</f>
        <v/>
      </c>
      <c r="J473" s="13">
        <f>(D473-E473)^2</f>
        <v/>
      </c>
      <c r="K473" s="14">
        <f>IF(ABS(G473)&lt;=1E-8,"",ABS((G473-H473)/G473))</f>
        <v/>
      </c>
    </row>
    <row r="474">
      <c r="A474" s="11" t="n">
        <v>45443</v>
      </c>
      <c r="B474" s="12" t="inlineStr">
        <is>
          <t>CA</t>
        </is>
      </c>
      <c r="C474" s="12" t="inlineStr">
        <is>
          <t>XGBoost</t>
        </is>
      </c>
      <c r="D474" s="13" t="n">
        <v>0.0999999999999996</v>
      </c>
      <c r="E474" s="13" t="n">
        <v>-0.0176960173994302</v>
      </c>
      <c r="F474" s="13" t="n">
        <v>6.2</v>
      </c>
      <c r="G474" s="13">
        <f>D474+F474</f>
        <v/>
      </c>
      <c r="H474" s="13">
        <f>E474+F474</f>
        <v/>
      </c>
      <c r="I474" s="13">
        <f>ABS(D474-E474)</f>
        <v/>
      </c>
      <c r="J474" s="13">
        <f>(D474-E474)^2</f>
        <v/>
      </c>
      <c r="K474" s="14">
        <f>IF(ABS(G474)&lt;=1E-8,"",ABS((G474-H474)/G474))</f>
        <v/>
      </c>
    </row>
    <row r="475">
      <c r="A475" s="11" t="n">
        <v>45443</v>
      </c>
      <c r="B475" s="12" t="inlineStr">
        <is>
          <t>DE</t>
        </is>
      </c>
      <c r="C475" s="12" t="inlineStr">
        <is>
          <t>XGBoost</t>
        </is>
      </c>
      <c r="D475" s="13" t="n">
        <v>0</v>
      </c>
      <c r="E475" s="13" t="n">
        <v>0.0227666683495044</v>
      </c>
      <c r="F475" s="13" t="n">
        <v>3.4</v>
      </c>
      <c r="G475" s="13">
        <f>D475+F475</f>
        <v/>
      </c>
      <c r="H475" s="13">
        <f>E475+F475</f>
        <v/>
      </c>
      <c r="I475" s="13">
        <f>ABS(D475-E475)</f>
        <v/>
      </c>
      <c r="J475" s="13">
        <f>(D475-E475)^2</f>
        <v/>
      </c>
      <c r="K475" s="14">
        <f>IF(ABS(G475)&lt;=1E-8,"",ABS((G475-H475)/G475))</f>
        <v/>
      </c>
    </row>
    <row r="476">
      <c r="A476" s="11" t="n">
        <v>45443</v>
      </c>
      <c r="B476" s="12" t="inlineStr">
        <is>
          <t>FR</t>
        </is>
      </c>
      <c r="C476" s="12" t="inlineStr">
        <is>
          <t>XGBoost</t>
        </is>
      </c>
      <c r="D476" s="13" t="n">
        <v>0</v>
      </c>
      <c r="E476" s="13" t="n">
        <v>-0.0043252171017229</v>
      </c>
      <c r="F476" s="13" t="n">
        <v>7.4</v>
      </c>
      <c r="G476" s="13">
        <f>D476+F476</f>
        <v/>
      </c>
      <c r="H476" s="13">
        <f>E476+F476</f>
        <v/>
      </c>
      <c r="I476" s="13">
        <f>ABS(D476-E476)</f>
        <v/>
      </c>
      <c r="J476" s="13">
        <f>(D476-E476)^2</f>
        <v/>
      </c>
      <c r="K476" s="14">
        <f>IF(ABS(G476)&lt;=1E-8,"",ABS((G476-H476)/G476))</f>
        <v/>
      </c>
    </row>
    <row r="477">
      <c r="A477" s="11" t="n">
        <v>45443</v>
      </c>
      <c r="B477" s="12" t="inlineStr">
        <is>
          <t>GB</t>
        </is>
      </c>
      <c r="C477" s="12" t="inlineStr">
        <is>
          <t>XGBoost</t>
        </is>
      </c>
      <c r="D477" s="13" t="n">
        <v>-0.2000000000000001</v>
      </c>
      <c r="E477" s="13" t="n">
        <v>0.0136376209557056</v>
      </c>
      <c r="F477" s="13" t="n">
        <v>4.4</v>
      </c>
      <c r="G477" s="13">
        <f>D477+F477</f>
        <v/>
      </c>
      <c r="H477" s="13">
        <f>E477+F477</f>
        <v/>
      </c>
      <c r="I477" s="13">
        <f>ABS(D477-E477)</f>
        <v/>
      </c>
      <c r="J477" s="13">
        <f>(D477-E477)^2</f>
        <v/>
      </c>
      <c r="K477" s="14">
        <f>IF(ABS(G477)&lt;=1E-8,"",ABS((G477-H477)/G477))</f>
        <v/>
      </c>
    </row>
    <row r="478">
      <c r="A478" s="11" t="n">
        <v>45443</v>
      </c>
      <c r="B478" s="12" t="inlineStr">
        <is>
          <t>IT</t>
        </is>
      </c>
      <c r="C478" s="12" t="inlineStr">
        <is>
          <t>XGBoost</t>
        </is>
      </c>
      <c r="D478" s="13" t="n">
        <v>-0.2999999999999998</v>
      </c>
      <c r="E478" s="13" t="n">
        <v>-0.0305622667074203</v>
      </c>
      <c r="F478" s="13" t="n">
        <v>6.8</v>
      </c>
      <c r="G478" s="13">
        <f>D478+F478</f>
        <v/>
      </c>
      <c r="H478" s="13">
        <f>E478+F478</f>
        <v/>
      </c>
      <c r="I478" s="13">
        <f>ABS(D478-E478)</f>
        <v/>
      </c>
      <c r="J478" s="13">
        <f>(D478-E478)^2</f>
        <v/>
      </c>
      <c r="K478" s="14">
        <f>IF(ABS(G478)&lt;=1E-8,"",ABS((G478-H478)/G478))</f>
        <v/>
      </c>
    </row>
    <row r="479">
      <c r="A479" s="11" t="n">
        <v>45443</v>
      </c>
      <c r="B479" s="12" t="inlineStr">
        <is>
          <t>JP</t>
        </is>
      </c>
      <c r="C479" s="12" t="inlineStr">
        <is>
          <t>XGBoost</t>
        </is>
      </c>
      <c r="D479" s="13" t="n">
        <v>0</v>
      </c>
      <c r="E479" s="13" t="n">
        <v>-0.0114946281537413</v>
      </c>
      <c r="F479" s="13" t="n">
        <v>2.6</v>
      </c>
      <c r="G479" s="13">
        <f>D479+F479</f>
        <v/>
      </c>
      <c r="H479" s="13">
        <f>E479+F479</f>
        <v/>
      </c>
      <c r="I479" s="13">
        <f>ABS(D479-E479)</f>
        <v/>
      </c>
      <c r="J479" s="13">
        <f>(D479-E479)^2</f>
        <v/>
      </c>
      <c r="K479" s="14">
        <f>IF(ABS(G479)&lt;=1E-8,"",ABS((G479-H479)/G479))</f>
        <v/>
      </c>
    </row>
    <row r="480">
      <c r="A480" s="11" t="n">
        <v>45443</v>
      </c>
      <c r="B480" s="12" t="inlineStr">
        <is>
          <t>KR</t>
        </is>
      </c>
      <c r="C480" s="12" t="inlineStr">
        <is>
          <t>XGBoost</t>
        </is>
      </c>
      <c r="D480" s="13" t="n">
        <v>0</v>
      </c>
      <c r="E480" s="13" t="n">
        <v>0.0260066948831081</v>
      </c>
      <c r="F480" s="13" t="n">
        <v>2.8</v>
      </c>
      <c r="G480" s="13">
        <f>D480+F480</f>
        <v/>
      </c>
      <c r="H480" s="13">
        <f>E480+F480</f>
        <v/>
      </c>
      <c r="I480" s="13">
        <f>ABS(D480-E480)</f>
        <v/>
      </c>
      <c r="J480" s="13">
        <f>(D480-E480)^2</f>
        <v/>
      </c>
      <c r="K480" s="14">
        <f>IF(ABS(G480)&lt;=1E-8,"",ABS((G480-H480)/G480))</f>
        <v/>
      </c>
    </row>
    <row r="481">
      <c r="A481" s="11" t="n">
        <v>45443</v>
      </c>
      <c r="B481" s="12" t="inlineStr">
        <is>
          <t>US</t>
        </is>
      </c>
      <c r="C481" s="12" t="inlineStr">
        <is>
          <t>XGBoost</t>
        </is>
      </c>
      <c r="D481" s="13" t="n">
        <v>0</v>
      </c>
      <c r="E481" s="13" t="n">
        <v>-0.0163119360804557</v>
      </c>
      <c r="F481" s="13" t="n">
        <v>3.9</v>
      </c>
      <c r="G481" s="13">
        <f>D481+F481</f>
        <v/>
      </c>
      <c r="H481" s="13">
        <f>E481+F481</f>
        <v/>
      </c>
      <c r="I481" s="13">
        <f>ABS(D481-E481)</f>
        <v/>
      </c>
      <c r="J481" s="13">
        <f>(D481-E481)^2</f>
        <v/>
      </c>
      <c r="K481" s="14">
        <f>IF(ABS(G481)&lt;=1E-8,"",ABS((G481-H481)/G481))</f>
        <v/>
      </c>
    </row>
    <row r="482">
      <c r="A482" s="11" t="n">
        <v>45473</v>
      </c>
      <c r="B482" s="12" t="inlineStr">
        <is>
          <t>AU</t>
        </is>
      </c>
      <c r="C482" s="12" t="inlineStr">
        <is>
          <t>XGBoost</t>
        </is>
      </c>
      <c r="D482" s="13" t="n">
        <v>0.0282750000000007</v>
      </c>
      <c r="E482" s="13" t="n">
        <v>-0.0072448076680302</v>
      </c>
      <c r="F482" s="13" t="n">
        <v>4.005112</v>
      </c>
      <c r="G482" s="13">
        <f>D482+F482</f>
        <v/>
      </c>
      <c r="H482" s="13">
        <f>E482+F482</f>
        <v/>
      </c>
      <c r="I482" s="13">
        <f>ABS(D482-E482)</f>
        <v/>
      </c>
      <c r="J482" s="13">
        <f>(D482-E482)^2</f>
        <v/>
      </c>
      <c r="K482" s="14">
        <f>IF(ABS(G482)&lt;=1E-8,"",ABS((G482-H482)/G482))</f>
        <v/>
      </c>
    </row>
    <row r="483">
      <c r="A483" s="11" t="n">
        <v>45473</v>
      </c>
      <c r="B483" s="12" t="inlineStr">
        <is>
          <t>CA</t>
        </is>
      </c>
      <c r="C483" s="12" t="inlineStr">
        <is>
          <t>XGBoost</t>
        </is>
      </c>
      <c r="D483" s="13" t="n">
        <v>0.1000000000000005</v>
      </c>
      <c r="E483" s="13" t="n">
        <v>-0.0275885630398988</v>
      </c>
      <c r="F483" s="13" t="n">
        <v>6.3</v>
      </c>
      <c r="G483" s="13">
        <f>D483+F483</f>
        <v/>
      </c>
      <c r="H483" s="13">
        <f>E483+F483</f>
        <v/>
      </c>
      <c r="I483" s="13">
        <f>ABS(D483-E483)</f>
        <v/>
      </c>
      <c r="J483" s="13">
        <f>(D483-E483)^2</f>
        <v/>
      </c>
      <c r="K483" s="14">
        <f>IF(ABS(G483)&lt;=1E-8,"",ABS((G483-H483)/G483))</f>
        <v/>
      </c>
    </row>
    <row r="484">
      <c r="A484" s="11" t="n">
        <v>45473</v>
      </c>
      <c r="B484" s="12" t="inlineStr">
        <is>
          <t>DE</t>
        </is>
      </c>
      <c r="C484" s="12" t="inlineStr">
        <is>
          <t>XGBoost</t>
        </is>
      </c>
      <c r="D484" s="13" t="n">
        <v>0</v>
      </c>
      <c r="E484" s="13" t="n">
        <v>-0.0060859741643071</v>
      </c>
      <c r="F484" s="13" t="n">
        <v>3.4</v>
      </c>
      <c r="G484" s="13">
        <f>D484+F484</f>
        <v/>
      </c>
      <c r="H484" s="13">
        <f>E484+F484</f>
        <v/>
      </c>
      <c r="I484" s="13">
        <f>ABS(D484-E484)</f>
        <v/>
      </c>
      <c r="J484" s="13">
        <f>(D484-E484)^2</f>
        <v/>
      </c>
      <c r="K484" s="14">
        <f>IF(ABS(G484)&lt;=1E-8,"",ABS((G484-H484)/G484))</f>
        <v/>
      </c>
    </row>
    <row r="485">
      <c r="A485" s="11" t="n">
        <v>45473</v>
      </c>
      <c r="B485" s="12" t="inlineStr">
        <is>
          <t>FR</t>
        </is>
      </c>
      <c r="C485" s="12" t="inlineStr">
        <is>
          <t>XGBoost</t>
        </is>
      </c>
      <c r="D485" s="13" t="n">
        <v>0.0999999999999996</v>
      </c>
      <c r="E485" s="13" t="n">
        <v>-0.004707739688456</v>
      </c>
      <c r="F485" s="13" t="n">
        <v>7.4</v>
      </c>
      <c r="G485" s="13">
        <f>D485+F485</f>
        <v/>
      </c>
      <c r="H485" s="13">
        <f>E485+F485</f>
        <v/>
      </c>
      <c r="I485" s="13">
        <f>ABS(D485-E485)</f>
        <v/>
      </c>
      <c r="J485" s="13">
        <f>(D485-E485)^2</f>
        <v/>
      </c>
      <c r="K485" s="14">
        <f>IF(ABS(G485)&lt;=1E-8,"",ABS((G485-H485)/G485))</f>
        <v/>
      </c>
    </row>
    <row r="486">
      <c r="A486" s="11" t="n">
        <v>45473</v>
      </c>
      <c r="B486" s="12" t="inlineStr">
        <is>
          <t>GB</t>
        </is>
      </c>
      <c r="C486" s="12" t="inlineStr">
        <is>
          <t>XGBoost</t>
        </is>
      </c>
      <c r="D486" s="13" t="n">
        <v>0</v>
      </c>
      <c r="E486" s="13" t="n">
        <v>-0.0116470735520124</v>
      </c>
      <c r="F486" s="13" t="n">
        <v>4.2</v>
      </c>
      <c r="G486" s="13">
        <f>D486+F486</f>
        <v/>
      </c>
      <c r="H486" s="13">
        <f>E486+F486</f>
        <v/>
      </c>
      <c r="I486" s="13">
        <f>ABS(D486-E486)</f>
        <v/>
      </c>
      <c r="J486" s="13">
        <f>(D486-E486)^2</f>
        <v/>
      </c>
      <c r="K486" s="14">
        <f>IF(ABS(G486)&lt;=1E-8,"",ABS((G486-H486)/G486))</f>
        <v/>
      </c>
    </row>
    <row r="487">
      <c r="A487" s="11" t="n">
        <v>45473</v>
      </c>
      <c r="B487" s="12" t="inlineStr">
        <is>
          <t>IT</t>
        </is>
      </c>
      <c r="C487" s="12" t="inlineStr">
        <is>
          <t>XGBoost</t>
        </is>
      </c>
      <c r="D487" s="13" t="n">
        <v>0.2000000000000001</v>
      </c>
      <c r="E487" s="13" t="n">
        <v>-0.0354593731462955</v>
      </c>
      <c r="F487" s="13" t="n">
        <v>6.5</v>
      </c>
      <c r="G487" s="13">
        <f>D487+F487</f>
        <v/>
      </c>
      <c r="H487" s="13">
        <f>E487+F487</f>
        <v/>
      </c>
      <c r="I487" s="13">
        <f>ABS(D487-E487)</f>
        <v/>
      </c>
      <c r="J487" s="13">
        <f>(D487-E487)^2</f>
        <v/>
      </c>
      <c r="K487" s="14">
        <f>IF(ABS(G487)&lt;=1E-8,"",ABS((G487-H487)/G487))</f>
        <v/>
      </c>
    </row>
    <row r="488">
      <c r="A488" s="11" t="n">
        <v>45473</v>
      </c>
      <c r="B488" s="12" t="inlineStr">
        <is>
          <t>JP</t>
        </is>
      </c>
      <c r="C488" s="12" t="inlineStr">
        <is>
          <t>XGBoost</t>
        </is>
      </c>
      <c r="D488" s="13" t="n">
        <v>-0.1</v>
      </c>
      <c r="E488" s="13" t="n">
        <v>-0.0026503945700824</v>
      </c>
      <c r="F488" s="13" t="n">
        <v>2.6</v>
      </c>
      <c r="G488" s="13">
        <f>D488+F488</f>
        <v/>
      </c>
      <c r="H488" s="13">
        <f>E488+F488</f>
        <v/>
      </c>
      <c r="I488" s="13">
        <f>ABS(D488-E488)</f>
        <v/>
      </c>
      <c r="J488" s="13">
        <f>(D488-E488)^2</f>
        <v/>
      </c>
      <c r="K488" s="14">
        <f>IF(ABS(G488)&lt;=1E-8,"",ABS((G488-H488)/G488))</f>
        <v/>
      </c>
    </row>
    <row r="489">
      <c r="A489" s="11" t="n">
        <v>45473</v>
      </c>
      <c r="B489" s="12" t="inlineStr">
        <is>
          <t>KR</t>
        </is>
      </c>
      <c r="C489" s="12" t="inlineStr">
        <is>
          <t>XGBoost</t>
        </is>
      </c>
      <c r="D489" s="13" t="n">
        <v>0</v>
      </c>
      <c r="E489" s="13" t="n">
        <v>-0.0270174369215965</v>
      </c>
      <c r="F489" s="13" t="n">
        <v>2.8</v>
      </c>
      <c r="G489" s="13">
        <f>D489+F489</f>
        <v/>
      </c>
      <c r="H489" s="13">
        <f>E489+F489</f>
        <v/>
      </c>
      <c r="I489" s="13">
        <f>ABS(D489-E489)</f>
        <v/>
      </c>
      <c r="J489" s="13">
        <f>(D489-E489)^2</f>
        <v/>
      </c>
      <c r="K489" s="14">
        <f>IF(ABS(G489)&lt;=1E-8,"",ABS((G489-H489)/G489))</f>
        <v/>
      </c>
    </row>
    <row r="490">
      <c r="A490" s="11" t="n">
        <v>45473</v>
      </c>
      <c r="B490" s="12" t="inlineStr">
        <is>
          <t>US</t>
        </is>
      </c>
      <c r="C490" s="12" t="inlineStr">
        <is>
          <t>XGBoost</t>
        </is>
      </c>
      <c r="D490" s="13" t="n">
        <v>0.1999999999999997</v>
      </c>
      <c r="E490" s="13" t="n">
        <v>-0.0301791653037071</v>
      </c>
      <c r="F490" s="13" t="n">
        <v>3.9</v>
      </c>
      <c r="G490" s="13">
        <f>D490+F490</f>
        <v/>
      </c>
      <c r="H490" s="13">
        <f>E490+F490</f>
        <v/>
      </c>
      <c r="I490" s="13">
        <f>ABS(D490-E490)</f>
        <v/>
      </c>
      <c r="J490" s="13">
        <f>(D490-E490)^2</f>
        <v/>
      </c>
      <c r="K490" s="14">
        <f>IF(ABS(G490)&lt;=1E-8,"",ABS((G490-H490)/G490))</f>
        <v/>
      </c>
    </row>
    <row r="491">
      <c r="A491" s="11" t="n">
        <v>45504</v>
      </c>
      <c r="B491" s="12" t="inlineStr">
        <is>
          <t>AU</t>
        </is>
      </c>
      <c r="C491" s="12" t="inlineStr">
        <is>
          <t>XGBoost</t>
        </is>
      </c>
      <c r="D491" s="13" t="n">
        <v>0.1585450000000001</v>
      </c>
      <c r="E491" s="13" t="n">
        <v>-0.0196943283081054</v>
      </c>
      <c r="F491" s="13" t="n">
        <v>4.033387</v>
      </c>
      <c r="G491" s="13">
        <f>D491+F491</f>
        <v/>
      </c>
      <c r="H491" s="13">
        <f>E491+F491</f>
        <v/>
      </c>
      <c r="I491" s="13">
        <f>ABS(D491-E491)</f>
        <v/>
      </c>
      <c r="J491" s="13">
        <f>(D491-E491)^2</f>
        <v/>
      </c>
      <c r="K491" s="14">
        <f>IF(ABS(G491)&lt;=1E-8,"",ABS((G491-H491)/G491))</f>
        <v/>
      </c>
    </row>
    <row r="492">
      <c r="A492" s="11" t="n">
        <v>45504</v>
      </c>
      <c r="B492" s="12" t="inlineStr">
        <is>
          <t>CA</t>
        </is>
      </c>
      <c r="C492" s="12" t="inlineStr">
        <is>
          <t>XGBoost</t>
        </is>
      </c>
      <c r="D492" s="13" t="n">
        <v>0</v>
      </c>
      <c r="E492" s="13" t="n">
        <v>-0.0128638679161667</v>
      </c>
      <c r="F492" s="13" t="n">
        <v>6.4</v>
      </c>
      <c r="G492" s="13">
        <f>D492+F492</f>
        <v/>
      </c>
      <c r="H492" s="13">
        <f>E492+F492</f>
        <v/>
      </c>
      <c r="I492" s="13">
        <f>ABS(D492-E492)</f>
        <v/>
      </c>
      <c r="J492" s="13">
        <f>(D492-E492)^2</f>
        <v/>
      </c>
      <c r="K492" s="14">
        <f>IF(ABS(G492)&lt;=1E-8,"",ABS((G492-H492)/G492))</f>
        <v/>
      </c>
    </row>
    <row r="493">
      <c r="A493" s="11" t="n">
        <v>45504</v>
      </c>
      <c r="B493" s="12" t="inlineStr">
        <is>
          <t>DE</t>
        </is>
      </c>
      <c r="C493" s="12" t="inlineStr">
        <is>
          <t>XGBoost</t>
        </is>
      </c>
      <c r="D493" s="13" t="n">
        <v>0</v>
      </c>
      <c r="E493" s="13" t="n">
        <v>0.0009520783787593</v>
      </c>
      <c r="F493" s="13" t="n">
        <v>3.4</v>
      </c>
      <c r="G493" s="13">
        <f>D493+F493</f>
        <v/>
      </c>
      <c r="H493" s="13">
        <f>E493+F493</f>
        <v/>
      </c>
      <c r="I493" s="13">
        <f>ABS(D493-E493)</f>
        <v/>
      </c>
      <c r="J493" s="13">
        <f>(D493-E493)^2</f>
        <v/>
      </c>
      <c r="K493" s="14">
        <f>IF(ABS(G493)&lt;=1E-8,"",ABS((G493-H493)/G493))</f>
        <v/>
      </c>
    </row>
    <row r="494">
      <c r="A494" s="11" t="n">
        <v>45504</v>
      </c>
      <c r="B494" s="12" t="inlineStr">
        <is>
          <t>FR</t>
        </is>
      </c>
      <c r="C494" s="12" t="inlineStr">
        <is>
          <t>XGBoost</t>
        </is>
      </c>
      <c r="D494" s="13" t="n">
        <v>0</v>
      </c>
      <c r="E494" s="13" t="n">
        <v>-0.0222453400492668</v>
      </c>
      <c r="F494" s="13" t="n">
        <v>7.5</v>
      </c>
      <c r="G494" s="13">
        <f>D494+F494</f>
        <v/>
      </c>
      <c r="H494" s="13">
        <f>E494+F494</f>
        <v/>
      </c>
      <c r="I494" s="13">
        <f>ABS(D494-E494)</f>
        <v/>
      </c>
      <c r="J494" s="13">
        <f>(D494-E494)^2</f>
        <v/>
      </c>
      <c r="K494" s="14">
        <f>IF(ABS(G494)&lt;=1E-8,"",ABS((G494-H494)/G494))</f>
        <v/>
      </c>
    </row>
    <row r="495">
      <c r="A495" s="11" t="n">
        <v>45504</v>
      </c>
      <c r="B495" s="12" t="inlineStr">
        <is>
          <t>GB</t>
        </is>
      </c>
      <c r="C495" s="12" t="inlineStr">
        <is>
          <t>XGBoost</t>
        </is>
      </c>
      <c r="D495" s="13" t="n">
        <v>-0.1000000000000005</v>
      </c>
      <c r="E495" s="13" t="n">
        <v>-0.0165690220892429</v>
      </c>
      <c r="F495" s="13" t="n">
        <v>4.2</v>
      </c>
      <c r="G495" s="13">
        <f>D495+F495</f>
        <v/>
      </c>
      <c r="H495" s="13">
        <f>E495+F495</f>
        <v/>
      </c>
      <c r="I495" s="13">
        <f>ABS(D495-E495)</f>
        <v/>
      </c>
      <c r="J495" s="13">
        <f>(D495-E495)^2</f>
        <v/>
      </c>
      <c r="K495" s="14">
        <f>IF(ABS(G495)&lt;=1E-8,"",ABS((G495-H495)/G495))</f>
        <v/>
      </c>
    </row>
    <row r="496">
      <c r="A496" s="11" t="n">
        <v>45504</v>
      </c>
      <c r="B496" s="12" t="inlineStr">
        <is>
          <t>IT</t>
        </is>
      </c>
      <c r="C496" s="12" t="inlineStr">
        <is>
          <t>XGBoost</t>
        </is>
      </c>
      <c r="D496" s="13" t="n">
        <v>-0.2999999999999998</v>
      </c>
      <c r="E496" s="13" t="n">
        <v>-0.0276974197477102</v>
      </c>
      <c r="F496" s="13" t="n">
        <v>6.7</v>
      </c>
      <c r="G496" s="13">
        <f>D496+F496</f>
        <v/>
      </c>
      <c r="H496" s="13">
        <f>E496+F496</f>
        <v/>
      </c>
      <c r="I496" s="13">
        <f>ABS(D496-E496)</f>
        <v/>
      </c>
      <c r="J496" s="13">
        <f>(D496-E496)^2</f>
        <v/>
      </c>
      <c r="K496" s="14">
        <f>IF(ABS(G496)&lt;=1E-8,"",ABS((G496-H496)/G496))</f>
        <v/>
      </c>
    </row>
    <row r="497">
      <c r="A497" s="11" t="n">
        <v>45504</v>
      </c>
      <c r="B497" s="12" t="inlineStr">
        <is>
          <t>JP</t>
        </is>
      </c>
      <c r="C497" s="12" t="inlineStr">
        <is>
          <t>XGBoost</t>
        </is>
      </c>
      <c r="D497" s="13" t="n">
        <v>0.2000000000000001</v>
      </c>
      <c r="E497" s="13" t="n">
        <v>-0.012157741934061</v>
      </c>
      <c r="F497" s="13" t="n">
        <v>2.5</v>
      </c>
      <c r="G497" s="13">
        <f>D497+F497</f>
        <v/>
      </c>
      <c r="H497" s="13">
        <f>E497+F497</f>
        <v/>
      </c>
      <c r="I497" s="13">
        <f>ABS(D497-E497)</f>
        <v/>
      </c>
      <c r="J497" s="13">
        <f>(D497-E497)^2</f>
        <v/>
      </c>
      <c r="K497" s="14">
        <f>IF(ABS(G497)&lt;=1E-8,"",ABS((G497-H497)/G497))</f>
        <v/>
      </c>
    </row>
    <row r="498">
      <c r="A498" s="11" t="n">
        <v>45504</v>
      </c>
      <c r="B498" s="12" t="inlineStr">
        <is>
          <t>KR</t>
        </is>
      </c>
      <c r="C498" s="12" t="inlineStr">
        <is>
          <t>XGBoost</t>
        </is>
      </c>
      <c r="D498" s="13" t="n">
        <v>-0.0999999999999996</v>
      </c>
      <c r="E498" s="13" t="n">
        <v>-0.0181015785783529</v>
      </c>
      <c r="F498" s="13" t="n">
        <v>2.8</v>
      </c>
      <c r="G498" s="13">
        <f>D498+F498</f>
        <v/>
      </c>
      <c r="H498" s="13">
        <f>E498+F498</f>
        <v/>
      </c>
      <c r="I498" s="13">
        <f>ABS(D498-E498)</f>
        <v/>
      </c>
      <c r="J498" s="13">
        <f>(D498-E498)^2</f>
        <v/>
      </c>
      <c r="K498" s="14">
        <f>IF(ABS(G498)&lt;=1E-8,"",ABS((G498-H498)/G498))</f>
        <v/>
      </c>
    </row>
    <row r="499">
      <c r="A499" s="11" t="n">
        <v>45504</v>
      </c>
      <c r="B499" s="12" t="inlineStr">
        <is>
          <t>US</t>
        </is>
      </c>
      <c r="C499" s="12" t="inlineStr">
        <is>
          <t>XGBoost</t>
        </is>
      </c>
      <c r="D499" s="13" t="n">
        <v>0.1000000000000005</v>
      </c>
      <c r="E499" s="13" t="n">
        <v>-0.0251207537949085</v>
      </c>
      <c r="F499" s="13" t="n">
        <v>4.1</v>
      </c>
      <c r="G499" s="13">
        <f>D499+F499</f>
        <v/>
      </c>
      <c r="H499" s="13">
        <f>E499+F499</f>
        <v/>
      </c>
      <c r="I499" s="13">
        <f>ABS(D499-E499)</f>
        <v/>
      </c>
      <c r="J499" s="13">
        <f>(D499-E499)^2</f>
        <v/>
      </c>
      <c r="K499" s="14">
        <f>IF(ABS(G499)&lt;=1E-8,"",ABS((G499-H499)/G499))</f>
        <v/>
      </c>
    </row>
    <row r="500">
      <c r="A500" s="11" t="n">
        <v>45535</v>
      </c>
      <c r="B500" s="12" t="inlineStr">
        <is>
          <t>AU</t>
        </is>
      </c>
      <c r="C500" s="12" t="inlineStr">
        <is>
          <t>XGBoost</t>
        </is>
      </c>
      <c r="D500" s="13" t="n">
        <v>-0.0666090000000005</v>
      </c>
      <c r="E500" s="13" t="n">
        <v>0.0121080074459314</v>
      </c>
      <c r="F500" s="13" t="n">
        <v>4.191932</v>
      </c>
      <c r="G500" s="13">
        <f>D500+F500</f>
        <v/>
      </c>
      <c r="H500" s="13">
        <f>E500+F500</f>
        <v/>
      </c>
      <c r="I500" s="13">
        <f>ABS(D500-E500)</f>
        <v/>
      </c>
      <c r="J500" s="13">
        <f>(D500-E500)^2</f>
        <v/>
      </c>
      <c r="K500" s="14">
        <f>IF(ABS(G500)&lt;=1E-8,"",ABS((G500-H500)/G500))</f>
        <v/>
      </c>
    </row>
    <row r="501">
      <c r="A501" s="11" t="n">
        <v>45535</v>
      </c>
      <c r="B501" s="12" t="inlineStr">
        <is>
          <t>CA</t>
        </is>
      </c>
      <c r="C501" s="12" t="inlineStr">
        <is>
          <t>XGBoost</t>
        </is>
      </c>
      <c r="D501" s="13" t="n">
        <v>0.1999999999999993</v>
      </c>
      <c r="E501" s="13" t="n">
        <v>-0.0031965903472155</v>
      </c>
      <c r="F501" s="13" t="n">
        <v>6.4</v>
      </c>
      <c r="G501" s="13">
        <f>D501+F501</f>
        <v/>
      </c>
      <c r="H501" s="13">
        <f>E501+F501</f>
        <v/>
      </c>
      <c r="I501" s="13">
        <f>ABS(D501-E501)</f>
        <v/>
      </c>
      <c r="J501" s="13">
        <f>(D501-E501)^2</f>
        <v/>
      </c>
      <c r="K501" s="14">
        <f>IF(ABS(G501)&lt;=1E-8,"",ABS((G501-H501)/G501))</f>
        <v/>
      </c>
    </row>
    <row r="502">
      <c r="A502" s="11" t="n">
        <v>45535</v>
      </c>
      <c r="B502" s="12" t="inlineStr">
        <is>
          <t>DE</t>
        </is>
      </c>
      <c r="C502" s="12" t="inlineStr">
        <is>
          <t>XGBoost</t>
        </is>
      </c>
      <c r="D502" s="13" t="n">
        <v>0</v>
      </c>
      <c r="E502" s="13" t="n">
        <v>0.0015322878025472</v>
      </c>
      <c r="F502" s="13" t="n">
        <v>3.4</v>
      </c>
      <c r="G502" s="13">
        <f>D502+F502</f>
        <v/>
      </c>
      <c r="H502" s="13">
        <f>E502+F502</f>
        <v/>
      </c>
      <c r="I502" s="13">
        <f>ABS(D502-E502)</f>
        <v/>
      </c>
      <c r="J502" s="13">
        <f>(D502-E502)^2</f>
        <v/>
      </c>
      <c r="K502" s="14">
        <f>IF(ABS(G502)&lt;=1E-8,"",ABS((G502-H502)/G502))</f>
        <v/>
      </c>
    </row>
    <row r="503">
      <c r="A503" s="11" t="n">
        <v>45535</v>
      </c>
      <c r="B503" s="12" t="inlineStr">
        <is>
          <t>FR</t>
        </is>
      </c>
      <c r="C503" s="12" t="inlineStr">
        <is>
          <t>XGBoost</t>
        </is>
      </c>
      <c r="D503" s="13" t="n">
        <v>0</v>
      </c>
      <c r="E503" s="13" t="n">
        <v>-0.0134150516241788</v>
      </c>
      <c r="F503" s="13" t="n">
        <v>7.5</v>
      </c>
      <c r="G503" s="13">
        <f>D503+F503</f>
        <v/>
      </c>
      <c r="H503" s="13">
        <f>E503+F503</f>
        <v/>
      </c>
      <c r="I503" s="13">
        <f>ABS(D503-E503)</f>
        <v/>
      </c>
      <c r="J503" s="13">
        <f>(D503-E503)^2</f>
        <v/>
      </c>
      <c r="K503" s="14">
        <f>IF(ABS(G503)&lt;=1E-8,"",ABS((G503-H503)/G503))</f>
        <v/>
      </c>
    </row>
    <row r="504">
      <c r="A504" s="11" t="n">
        <v>45535</v>
      </c>
      <c r="B504" s="12" t="inlineStr">
        <is>
          <t>GB</t>
        </is>
      </c>
      <c r="C504" s="12" t="inlineStr">
        <is>
          <t>XGBoost</t>
        </is>
      </c>
      <c r="D504" s="13" t="n">
        <v>0.2000000000000001</v>
      </c>
      <c r="E504" s="13" t="n">
        <v>0.0018150460673496</v>
      </c>
      <c r="F504" s="13" t="n">
        <v>4.1</v>
      </c>
      <c r="G504" s="13">
        <f>D504+F504</f>
        <v/>
      </c>
      <c r="H504" s="13">
        <f>E504+F504</f>
        <v/>
      </c>
      <c r="I504" s="13">
        <f>ABS(D504-E504)</f>
        <v/>
      </c>
      <c r="J504" s="13">
        <f>(D504-E504)^2</f>
        <v/>
      </c>
      <c r="K504" s="14">
        <f>IF(ABS(G504)&lt;=1E-8,"",ABS((G504-H504)/G504))</f>
        <v/>
      </c>
    </row>
    <row r="505">
      <c r="A505" s="11" t="n">
        <v>45535</v>
      </c>
      <c r="B505" s="12" t="inlineStr">
        <is>
          <t>IT</t>
        </is>
      </c>
      <c r="C505" s="12" t="inlineStr">
        <is>
          <t>XGBoost</t>
        </is>
      </c>
      <c r="D505" s="13" t="n">
        <v>0</v>
      </c>
      <c r="E505" s="13" t="n">
        <v>-0.0471663326025009</v>
      </c>
      <c r="F505" s="13" t="n">
        <v>6.4</v>
      </c>
      <c r="G505" s="13">
        <f>D505+F505</f>
        <v/>
      </c>
      <c r="H505" s="13">
        <f>E505+F505</f>
        <v/>
      </c>
      <c r="I505" s="13">
        <f>ABS(D505-E505)</f>
        <v/>
      </c>
      <c r="J505" s="13">
        <f>(D505-E505)^2</f>
        <v/>
      </c>
      <c r="K505" s="14">
        <f>IF(ABS(G505)&lt;=1E-8,"",ABS((G505-H505)/G505))</f>
        <v/>
      </c>
    </row>
    <row r="506">
      <c r="A506" s="11" t="n">
        <v>45535</v>
      </c>
      <c r="B506" s="12" t="inlineStr">
        <is>
          <t>JP</t>
        </is>
      </c>
      <c r="C506" s="12" t="inlineStr">
        <is>
          <t>XGBoost</t>
        </is>
      </c>
      <c r="D506" s="13" t="n">
        <v>-0.2000000000000001</v>
      </c>
      <c r="E506" s="13" t="n">
        <v>-0.0162392873317003</v>
      </c>
      <c r="F506" s="13" t="n">
        <v>2.7</v>
      </c>
      <c r="G506" s="13">
        <f>D506+F506</f>
        <v/>
      </c>
      <c r="H506" s="13">
        <f>E506+F506</f>
        <v/>
      </c>
      <c r="I506" s="13">
        <f>ABS(D506-E506)</f>
        <v/>
      </c>
      <c r="J506" s="13">
        <f>(D506-E506)^2</f>
        <v/>
      </c>
      <c r="K506" s="14">
        <f>IF(ABS(G506)&lt;=1E-8,"",ABS((G506-H506)/G506))</f>
        <v/>
      </c>
    </row>
    <row r="507">
      <c r="A507" s="11" t="n">
        <v>45535</v>
      </c>
      <c r="B507" s="12" t="inlineStr">
        <is>
          <t>KR</t>
        </is>
      </c>
      <c r="C507" s="12" t="inlineStr">
        <is>
          <t>XGBoost</t>
        </is>
      </c>
      <c r="D507" s="13" t="n">
        <v>-0.1</v>
      </c>
      <c r="E507" s="13" t="n">
        <v>-0.0195695310831069</v>
      </c>
      <c r="F507" s="13" t="n">
        <v>2.7</v>
      </c>
      <c r="G507" s="13">
        <f>D507+F507</f>
        <v/>
      </c>
      <c r="H507" s="13">
        <f>E507+F507</f>
        <v/>
      </c>
      <c r="I507" s="13">
        <f>ABS(D507-E507)</f>
        <v/>
      </c>
      <c r="J507" s="13">
        <f>(D507-E507)^2</f>
        <v/>
      </c>
      <c r="K507" s="14">
        <f>IF(ABS(G507)&lt;=1E-8,"",ABS((G507-H507)/G507))</f>
        <v/>
      </c>
    </row>
    <row r="508">
      <c r="A508" s="11" t="n">
        <v>45535</v>
      </c>
      <c r="B508" s="12" t="inlineStr">
        <is>
          <t>US</t>
        </is>
      </c>
      <c r="C508" s="12" t="inlineStr">
        <is>
          <t>XGBoost</t>
        </is>
      </c>
      <c r="D508" s="13" t="n">
        <v>0</v>
      </c>
      <c r="E508" s="13" t="n">
        <v>-0.0154473343864083</v>
      </c>
      <c r="F508" s="13" t="n">
        <v>4.2</v>
      </c>
      <c r="G508" s="13">
        <f>D508+F508</f>
        <v/>
      </c>
      <c r="H508" s="13">
        <f>E508+F508</f>
        <v/>
      </c>
      <c r="I508" s="13">
        <f>ABS(D508-E508)</f>
        <v/>
      </c>
      <c r="J508" s="13">
        <f>(D508-E508)^2</f>
        <v/>
      </c>
      <c r="K508" s="14">
        <f>IF(ABS(G508)&lt;=1E-8,"",ABS((G508-H508)/G508))</f>
        <v/>
      </c>
    </row>
    <row r="509">
      <c r="A509" s="11" t="n">
        <v>45565</v>
      </c>
      <c r="B509" s="12" t="inlineStr">
        <is>
          <t>AU</t>
        </is>
      </c>
      <c r="C509" s="12" t="inlineStr">
        <is>
          <t>XGBoost</t>
        </is>
      </c>
      <c r="D509" s="13" t="n">
        <v>-0.1128520000000001</v>
      </c>
      <c r="E509" s="13" t="n">
        <v>0.0016889446415007</v>
      </c>
      <c r="F509" s="13" t="n">
        <v>4.125323</v>
      </c>
      <c r="G509" s="13">
        <f>D509+F509</f>
        <v/>
      </c>
      <c r="H509" s="13">
        <f>E509+F509</f>
        <v/>
      </c>
      <c r="I509" s="13">
        <f>ABS(D509-E509)</f>
        <v/>
      </c>
      <c r="J509" s="13">
        <f>(D509-E509)^2</f>
        <v/>
      </c>
      <c r="K509" s="14">
        <f>IF(ABS(G509)&lt;=1E-8,"",ABS((G509-H509)/G509))</f>
        <v/>
      </c>
    </row>
    <row r="510">
      <c r="A510" s="11" t="n">
        <v>45565</v>
      </c>
      <c r="B510" s="12" t="inlineStr">
        <is>
          <t>CA</t>
        </is>
      </c>
      <c r="C510" s="12" t="inlineStr">
        <is>
          <t>XGBoost</t>
        </is>
      </c>
      <c r="D510" s="13" t="n">
        <v>-0.0999999999999996</v>
      </c>
      <c r="E510" s="13" t="n">
        <v>-0.0128539521247148</v>
      </c>
      <c r="F510" s="13" t="n">
        <v>6.6</v>
      </c>
      <c r="G510" s="13">
        <f>D510+F510</f>
        <v/>
      </c>
      <c r="H510" s="13">
        <f>E510+F510</f>
        <v/>
      </c>
      <c r="I510" s="13">
        <f>ABS(D510-E510)</f>
        <v/>
      </c>
      <c r="J510" s="13">
        <f>(D510-E510)^2</f>
        <v/>
      </c>
      <c r="K510" s="14">
        <f>IF(ABS(G510)&lt;=1E-8,"",ABS((G510-H510)/G510))</f>
        <v/>
      </c>
    </row>
    <row r="511">
      <c r="A511" s="11" t="n">
        <v>45565</v>
      </c>
      <c r="B511" s="12" t="inlineStr">
        <is>
          <t>DE</t>
        </is>
      </c>
      <c r="C511" s="12" t="inlineStr">
        <is>
          <t>XGBoost</t>
        </is>
      </c>
      <c r="D511" s="13" t="n">
        <v>0</v>
      </c>
      <c r="E511" s="13" t="n">
        <v>0.0104314535856246</v>
      </c>
      <c r="F511" s="13" t="n">
        <v>3.4</v>
      </c>
      <c r="G511" s="13">
        <f>D511+F511</f>
        <v/>
      </c>
      <c r="H511" s="13">
        <f>E511+F511</f>
        <v/>
      </c>
      <c r="I511" s="13">
        <f>ABS(D511-E511)</f>
        <v/>
      </c>
      <c r="J511" s="13">
        <f>(D511-E511)^2</f>
        <v/>
      </c>
      <c r="K511" s="14">
        <f>IF(ABS(G511)&lt;=1E-8,"",ABS((G511-H511)/G511))</f>
        <v/>
      </c>
    </row>
    <row r="512">
      <c r="A512" s="11" t="n">
        <v>45565</v>
      </c>
      <c r="B512" s="12" t="inlineStr">
        <is>
          <t>FR</t>
        </is>
      </c>
      <c r="C512" s="12" t="inlineStr">
        <is>
          <t>XGBoost</t>
        </is>
      </c>
      <c r="D512" s="13" t="n">
        <v>0</v>
      </c>
      <c r="E512" s="13" t="n">
        <v>-0.0286047831177711</v>
      </c>
      <c r="F512" s="13" t="n">
        <v>7.5</v>
      </c>
      <c r="G512" s="13">
        <f>D512+F512</f>
        <v/>
      </c>
      <c r="H512" s="13">
        <f>E512+F512</f>
        <v/>
      </c>
      <c r="I512" s="13">
        <f>ABS(D512-E512)</f>
        <v/>
      </c>
      <c r="J512" s="13">
        <f>(D512-E512)^2</f>
        <v/>
      </c>
      <c r="K512" s="14">
        <f>IF(ABS(G512)&lt;=1E-8,"",ABS((G512-H512)/G512))</f>
        <v/>
      </c>
    </row>
    <row r="513">
      <c r="A513" s="11" t="n">
        <v>45565</v>
      </c>
      <c r="B513" s="12" t="inlineStr">
        <is>
          <t>GB</t>
        </is>
      </c>
      <c r="C513" s="12" t="inlineStr">
        <is>
          <t>XGBoost</t>
        </is>
      </c>
      <c r="D513" s="13" t="n">
        <v>-0.0999999999999996</v>
      </c>
      <c r="E513" s="13" t="n">
        <v>0.008794819004833599</v>
      </c>
      <c r="F513" s="13" t="n">
        <v>4.3</v>
      </c>
      <c r="G513" s="13">
        <f>D513+F513</f>
        <v/>
      </c>
      <c r="H513" s="13">
        <f>E513+F513</f>
        <v/>
      </c>
      <c r="I513" s="13">
        <f>ABS(D513-E513)</f>
        <v/>
      </c>
      <c r="J513" s="13">
        <f>(D513-E513)^2</f>
        <v/>
      </c>
      <c r="K513" s="14">
        <f>IF(ABS(G513)&lt;=1E-8,"",ABS((G513-H513)/G513))</f>
        <v/>
      </c>
    </row>
    <row r="514">
      <c r="A514" s="11" t="n">
        <v>45565</v>
      </c>
      <c r="B514" s="12" t="inlineStr">
        <is>
          <t>IT</t>
        </is>
      </c>
      <c r="C514" s="12" t="inlineStr">
        <is>
          <t>XGBoost</t>
        </is>
      </c>
      <c r="D514" s="13" t="n">
        <v>-0.3000000000000007</v>
      </c>
      <c r="E514" s="13" t="n">
        <v>-0.0376067385077476</v>
      </c>
      <c r="F514" s="13" t="n">
        <v>6.4</v>
      </c>
      <c r="G514" s="13">
        <f>D514+F514</f>
        <v/>
      </c>
      <c r="H514" s="13">
        <f>E514+F514</f>
        <v/>
      </c>
      <c r="I514" s="13">
        <f>ABS(D514-E514)</f>
        <v/>
      </c>
      <c r="J514" s="13">
        <f>(D514-E514)^2</f>
        <v/>
      </c>
      <c r="K514" s="14">
        <f>IF(ABS(G514)&lt;=1E-8,"",ABS((G514-H514)/G514))</f>
        <v/>
      </c>
    </row>
    <row r="515">
      <c r="A515" s="11" t="n">
        <v>45565</v>
      </c>
      <c r="B515" s="12" t="inlineStr">
        <is>
          <t>JP</t>
        </is>
      </c>
      <c r="C515" s="12" t="inlineStr">
        <is>
          <t>XGBoost</t>
        </is>
      </c>
      <c r="D515" s="13" t="n">
        <v>-0.1</v>
      </c>
      <c r="E515" s="13" t="n">
        <v>-0.009648744948208301</v>
      </c>
      <c r="F515" s="13" t="n">
        <v>2.5</v>
      </c>
      <c r="G515" s="13">
        <f>D515+F515</f>
        <v/>
      </c>
      <c r="H515" s="13">
        <f>E515+F515</f>
        <v/>
      </c>
      <c r="I515" s="13">
        <f>ABS(D515-E515)</f>
        <v/>
      </c>
      <c r="J515" s="13">
        <f>(D515-E515)^2</f>
        <v/>
      </c>
      <c r="K515" s="14">
        <f>IF(ABS(G515)&lt;=1E-8,"",ABS((G515-H515)/G515))</f>
        <v/>
      </c>
    </row>
    <row r="516">
      <c r="A516" s="11" t="n">
        <v>45565</v>
      </c>
      <c r="B516" s="12" t="inlineStr">
        <is>
          <t>KR</t>
        </is>
      </c>
      <c r="C516" s="12" t="inlineStr">
        <is>
          <t>XGBoost</t>
        </is>
      </c>
      <c r="D516" s="13" t="n">
        <v>0</v>
      </c>
      <c r="E516" s="13" t="n">
        <v>-0.0003678435459733</v>
      </c>
      <c r="F516" s="13" t="n">
        <v>2.6</v>
      </c>
      <c r="G516" s="13">
        <f>D516+F516</f>
        <v/>
      </c>
      <c r="H516" s="13">
        <f>E516+F516</f>
        <v/>
      </c>
      <c r="I516" s="13">
        <f>ABS(D516-E516)</f>
        <v/>
      </c>
      <c r="J516" s="13">
        <f>(D516-E516)^2</f>
        <v/>
      </c>
      <c r="K516" s="14">
        <f>IF(ABS(G516)&lt;=1E-8,"",ABS((G516-H516)/G516))</f>
        <v/>
      </c>
    </row>
    <row r="517">
      <c r="A517" s="11" t="n">
        <v>45565</v>
      </c>
      <c r="B517" s="12" t="inlineStr">
        <is>
          <t>US</t>
        </is>
      </c>
      <c r="C517" s="12" t="inlineStr">
        <is>
          <t>XGBoost</t>
        </is>
      </c>
      <c r="D517" s="13" t="n">
        <v>-0.1000000000000005</v>
      </c>
      <c r="E517" s="13" t="n">
        <v>0.0012830343330278</v>
      </c>
      <c r="F517" s="13" t="n">
        <v>4.2</v>
      </c>
      <c r="G517" s="13">
        <f>D517+F517</f>
        <v/>
      </c>
      <c r="H517" s="13">
        <f>E517+F517</f>
        <v/>
      </c>
      <c r="I517" s="13">
        <f>ABS(D517-E517)</f>
        <v/>
      </c>
      <c r="J517" s="13">
        <f>(D517-E517)^2</f>
        <v/>
      </c>
      <c r="K517" s="14">
        <f>IF(ABS(G517)&lt;=1E-8,"",ABS((G517-H517)/G517))</f>
        <v/>
      </c>
    </row>
    <row r="518">
      <c r="A518" s="11" t="n">
        <v>45596</v>
      </c>
      <c r="B518" s="12" t="inlineStr">
        <is>
          <t>AU</t>
        </is>
      </c>
      <c r="C518" s="12" t="inlineStr">
        <is>
          <t>XGBoost</t>
        </is>
      </c>
      <c r="D518" s="13" t="n">
        <v>0.07834099999999999</v>
      </c>
      <c r="E518" s="13" t="n">
        <v>0.0131489811465144</v>
      </c>
      <c r="F518" s="13" t="n">
        <v>4.012471</v>
      </c>
      <c r="G518" s="13">
        <f>D518+F518</f>
        <v/>
      </c>
      <c r="H518" s="13">
        <f>E518+F518</f>
        <v/>
      </c>
      <c r="I518" s="13">
        <f>ABS(D518-E518)</f>
        <v/>
      </c>
      <c r="J518" s="13">
        <f>(D518-E518)^2</f>
        <v/>
      </c>
      <c r="K518" s="14">
        <f>IF(ABS(G518)&lt;=1E-8,"",ABS((G518-H518)/G518))</f>
        <v/>
      </c>
    </row>
    <row r="519">
      <c r="A519" s="11" t="n">
        <v>45596</v>
      </c>
      <c r="B519" s="12" t="inlineStr">
        <is>
          <t>CA</t>
        </is>
      </c>
      <c r="C519" s="12" t="inlineStr">
        <is>
          <t>XGBoost</t>
        </is>
      </c>
      <c r="D519" s="13" t="n">
        <v>0.0999999999999996</v>
      </c>
      <c r="E519" s="13" t="n">
        <v>-0.0078157363459467</v>
      </c>
      <c r="F519" s="13" t="n">
        <v>6.5</v>
      </c>
      <c r="G519" s="13">
        <f>D519+F519</f>
        <v/>
      </c>
      <c r="H519" s="13">
        <f>E519+F519</f>
        <v/>
      </c>
      <c r="I519" s="13">
        <f>ABS(D519-E519)</f>
        <v/>
      </c>
      <c r="J519" s="13">
        <f>(D519-E519)^2</f>
        <v/>
      </c>
      <c r="K519" s="14">
        <f>IF(ABS(G519)&lt;=1E-8,"",ABS((G519-H519)/G519))</f>
        <v/>
      </c>
    </row>
    <row r="520">
      <c r="A520" s="11" t="n">
        <v>45596</v>
      </c>
      <c r="B520" s="12" t="inlineStr">
        <is>
          <t>DE</t>
        </is>
      </c>
      <c r="C520" s="12" t="inlineStr">
        <is>
          <t>XGBoost</t>
        </is>
      </c>
      <c r="D520" s="13" t="n">
        <v>0</v>
      </c>
      <c r="E520" s="13" t="n">
        <v>-0.0004374189302325</v>
      </c>
      <c r="F520" s="13" t="n">
        <v>3.4</v>
      </c>
      <c r="G520" s="13">
        <f>D520+F520</f>
        <v/>
      </c>
      <c r="H520" s="13">
        <f>E520+F520</f>
        <v/>
      </c>
      <c r="I520" s="13">
        <f>ABS(D520-E520)</f>
        <v/>
      </c>
      <c r="J520" s="13">
        <f>(D520-E520)^2</f>
        <v/>
      </c>
      <c r="K520" s="14">
        <f>IF(ABS(G520)&lt;=1E-8,"",ABS((G520-H520)/G520))</f>
        <v/>
      </c>
    </row>
    <row r="521">
      <c r="A521" s="11" t="n">
        <v>45596</v>
      </c>
      <c r="B521" s="12" t="inlineStr">
        <is>
          <t>FR</t>
        </is>
      </c>
      <c r="C521" s="12" t="inlineStr">
        <is>
          <t>XGBoost</t>
        </is>
      </c>
      <c r="D521" s="13" t="n">
        <v>-0.0999999999999996</v>
      </c>
      <c r="E521" s="13" t="n">
        <v>-0.017859186977148</v>
      </c>
      <c r="F521" s="13" t="n">
        <v>7.5</v>
      </c>
      <c r="G521" s="13">
        <f>D521+F521</f>
        <v/>
      </c>
      <c r="H521" s="13">
        <f>E521+F521</f>
        <v/>
      </c>
      <c r="I521" s="13">
        <f>ABS(D521-E521)</f>
        <v/>
      </c>
      <c r="J521" s="13">
        <f>(D521-E521)^2</f>
        <v/>
      </c>
      <c r="K521" s="14">
        <f>IF(ABS(G521)&lt;=1E-8,"",ABS((G521-H521)/G521))</f>
        <v/>
      </c>
    </row>
    <row r="522">
      <c r="A522" s="11" t="n">
        <v>45596</v>
      </c>
      <c r="B522" s="12" t="inlineStr">
        <is>
          <t>GB</t>
        </is>
      </c>
      <c r="C522" s="12" t="inlineStr">
        <is>
          <t>XGBoost</t>
        </is>
      </c>
      <c r="D522" s="13" t="n">
        <v>0.2000000000000001</v>
      </c>
      <c r="E522" s="13" t="n">
        <v>0.0101465098559856</v>
      </c>
      <c r="F522" s="13" t="n">
        <v>4.2</v>
      </c>
      <c r="G522" s="13">
        <f>D522+F522</f>
        <v/>
      </c>
      <c r="H522" s="13">
        <f>E522+F522</f>
        <v/>
      </c>
      <c r="I522" s="13">
        <f>ABS(D522-E522)</f>
        <v/>
      </c>
      <c r="J522" s="13">
        <f>(D522-E522)^2</f>
        <v/>
      </c>
      <c r="K522" s="14">
        <f>IF(ABS(G522)&lt;=1E-8,"",ABS((G522-H522)/G522))</f>
        <v/>
      </c>
    </row>
    <row r="523">
      <c r="A523" s="11" t="n">
        <v>45596</v>
      </c>
      <c r="B523" s="12" t="inlineStr">
        <is>
          <t>IT</t>
        </is>
      </c>
      <c r="C523" s="12" t="inlineStr">
        <is>
          <t>XGBoost</t>
        </is>
      </c>
      <c r="D523" s="13" t="n">
        <v>0</v>
      </c>
      <c r="E523" s="13" t="n">
        <v>-0.0288123600184917</v>
      </c>
      <c r="F523" s="13" t="n">
        <v>6.1</v>
      </c>
      <c r="G523" s="13">
        <f>D523+F523</f>
        <v/>
      </c>
      <c r="H523" s="13">
        <f>E523+F523</f>
        <v/>
      </c>
      <c r="I523" s="13">
        <f>ABS(D523-E523)</f>
        <v/>
      </c>
      <c r="J523" s="13">
        <f>(D523-E523)^2</f>
        <v/>
      </c>
      <c r="K523" s="14">
        <f>IF(ABS(G523)&lt;=1E-8,"",ABS((G523-H523)/G523))</f>
        <v/>
      </c>
    </row>
    <row r="524">
      <c r="A524" s="11" t="n">
        <v>45596</v>
      </c>
      <c r="B524" s="12" t="inlineStr">
        <is>
          <t>JP</t>
        </is>
      </c>
      <c r="C524" s="12" t="inlineStr">
        <is>
          <t>XGBoost</t>
        </is>
      </c>
      <c r="D524" s="13" t="n">
        <v>0.1</v>
      </c>
      <c r="E524" s="13" t="n">
        <v>-0.0039641540497541</v>
      </c>
      <c r="F524" s="13" t="n">
        <v>2.4</v>
      </c>
      <c r="G524" s="13">
        <f>D524+F524</f>
        <v/>
      </c>
      <c r="H524" s="13">
        <f>E524+F524</f>
        <v/>
      </c>
      <c r="I524" s="13">
        <f>ABS(D524-E524)</f>
        <v/>
      </c>
      <c r="J524" s="13">
        <f>(D524-E524)^2</f>
        <v/>
      </c>
      <c r="K524" s="14">
        <f>IF(ABS(G524)&lt;=1E-8,"",ABS((G524-H524)/G524))</f>
        <v/>
      </c>
    </row>
    <row r="525">
      <c r="A525" s="11" t="n">
        <v>45596</v>
      </c>
      <c r="B525" s="12" t="inlineStr">
        <is>
          <t>KR</t>
        </is>
      </c>
      <c r="C525" s="12" t="inlineStr">
        <is>
          <t>XGBoost</t>
        </is>
      </c>
      <c r="D525" s="13" t="n">
        <v>0.1999999999999997</v>
      </c>
      <c r="E525" s="13" t="n">
        <v>0.0092417495325207</v>
      </c>
      <c r="F525" s="13" t="n">
        <v>2.6</v>
      </c>
      <c r="G525" s="13">
        <f>D525+F525</f>
        <v/>
      </c>
      <c r="H525" s="13">
        <f>E525+F525</f>
        <v/>
      </c>
      <c r="I525" s="13">
        <f>ABS(D525-E525)</f>
        <v/>
      </c>
      <c r="J525" s="13">
        <f>(D525-E525)^2</f>
        <v/>
      </c>
      <c r="K525" s="14">
        <f>IF(ABS(G525)&lt;=1E-8,"",ABS((G525-H525)/G525))</f>
        <v/>
      </c>
    </row>
    <row r="526">
      <c r="A526" s="11" t="n">
        <v>45596</v>
      </c>
      <c r="B526" s="12" t="inlineStr">
        <is>
          <t>US</t>
        </is>
      </c>
      <c r="C526" s="12" t="inlineStr">
        <is>
          <t>XGBoost</t>
        </is>
      </c>
      <c r="D526" s="13" t="n">
        <v>0</v>
      </c>
      <c r="E526" s="13" t="n">
        <v>-0.0149264931678771</v>
      </c>
      <c r="F526" s="13" t="n">
        <v>4.1</v>
      </c>
      <c r="G526" s="13">
        <f>D526+F526</f>
        <v/>
      </c>
      <c r="H526" s="13">
        <f>E526+F526</f>
        <v/>
      </c>
      <c r="I526" s="13">
        <f>ABS(D526-E526)</f>
        <v/>
      </c>
      <c r="J526" s="13">
        <f>(D526-E526)^2</f>
        <v/>
      </c>
      <c r="K526" s="14">
        <f>IF(ABS(G526)&lt;=1E-8,"",ABS((G526-H526)/G526))</f>
        <v/>
      </c>
    </row>
    <row r="527">
      <c r="A527" s="11" t="n">
        <v>45626</v>
      </c>
      <c r="B527" s="12" t="inlineStr">
        <is>
          <t>AU</t>
        </is>
      </c>
      <c r="C527" s="12" t="inlineStr">
        <is>
          <t>XGBoost</t>
        </is>
      </c>
      <c r="D527" s="13" t="n">
        <v>-0.1543519999999998</v>
      </c>
      <c r="E527" s="13" t="n">
        <v>0.0167929157614707</v>
      </c>
      <c r="F527" s="13" t="n">
        <v>4.090812</v>
      </c>
      <c r="G527" s="13">
        <f>D527+F527</f>
        <v/>
      </c>
      <c r="H527" s="13">
        <f>E527+F527</f>
        <v/>
      </c>
      <c r="I527" s="13">
        <f>ABS(D527-E527)</f>
        <v/>
      </c>
      <c r="J527" s="13">
        <f>(D527-E527)^2</f>
        <v/>
      </c>
      <c r="K527" s="14">
        <f>IF(ABS(G527)&lt;=1E-8,"",ABS((G527-H527)/G527))</f>
        <v/>
      </c>
    </row>
    <row r="528">
      <c r="A528" s="11" t="n">
        <v>45626</v>
      </c>
      <c r="B528" s="12" t="inlineStr">
        <is>
          <t>CA</t>
        </is>
      </c>
      <c r="C528" s="12" t="inlineStr">
        <is>
          <t>XGBoost</t>
        </is>
      </c>
      <c r="D528" s="13" t="n">
        <v>0.4000000000000003</v>
      </c>
      <c r="E528" s="13" t="n">
        <v>0.0107823126018047</v>
      </c>
      <c r="F528" s="13" t="n">
        <v>6.6</v>
      </c>
      <c r="G528" s="13">
        <f>D528+F528</f>
        <v/>
      </c>
      <c r="H528" s="13">
        <f>E528+F528</f>
        <v/>
      </c>
      <c r="I528" s="13">
        <f>ABS(D528-E528)</f>
        <v/>
      </c>
      <c r="J528" s="13">
        <f>(D528-E528)^2</f>
        <v/>
      </c>
      <c r="K528" s="14">
        <f>IF(ABS(G528)&lt;=1E-8,"",ABS((G528-H528)/G528))</f>
        <v/>
      </c>
    </row>
    <row r="529">
      <c r="A529" s="11" t="n">
        <v>45626</v>
      </c>
      <c r="B529" s="12" t="inlineStr">
        <is>
          <t>DE</t>
        </is>
      </c>
      <c r="C529" s="12" t="inlineStr">
        <is>
          <t>XGBoost</t>
        </is>
      </c>
      <c r="D529" s="13" t="n">
        <v>0</v>
      </c>
      <c r="E529" s="13" t="n">
        <v>-0.0031411945819854</v>
      </c>
      <c r="F529" s="13" t="n">
        <v>3.4</v>
      </c>
      <c r="G529" s="13">
        <f>D529+F529</f>
        <v/>
      </c>
      <c r="H529" s="13">
        <f>E529+F529</f>
        <v/>
      </c>
      <c r="I529" s="13">
        <f>ABS(D529-E529)</f>
        <v/>
      </c>
      <c r="J529" s="13">
        <f>(D529-E529)^2</f>
        <v/>
      </c>
      <c r="K529" s="14">
        <f>IF(ABS(G529)&lt;=1E-8,"",ABS((G529-H529)/G529))</f>
        <v/>
      </c>
    </row>
    <row r="530">
      <c r="A530" s="11" t="n">
        <v>45626</v>
      </c>
      <c r="B530" s="12" t="inlineStr">
        <is>
          <t>FR</t>
        </is>
      </c>
      <c r="C530" s="12" t="inlineStr">
        <is>
          <t>XGBoost</t>
        </is>
      </c>
      <c r="D530" s="13" t="n">
        <v>0</v>
      </c>
      <c r="E530" s="13" t="n">
        <v>-0.0109481159597635</v>
      </c>
      <c r="F530" s="13" t="n">
        <v>7.4</v>
      </c>
      <c r="G530" s="13">
        <f>D530+F530</f>
        <v/>
      </c>
      <c r="H530" s="13">
        <f>E530+F530</f>
        <v/>
      </c>
      <c r="I530" s="13">
        <f>ABS(D530-E530)</f>
        <v/>
      </c>
      <c r="J530" s="13">
        <f>(D530-E530)^2</f>
        <v/>
      </c>
      <c r="K530" s="14">
        <f>IF(ABS(G530)&lt;=1E-8,"",ABS((G530-H530)/G530))</f>
        <v/>
      </c>
    </row>
    <row r="531">
      <c r="A531" s="11" t="n">
        <v>45626</v>
      </c>
      <c r="B531" s="12" t="inlineStr">
        <is>
          <t>GB</t>
        </is>
      </c>
      <c r="C531" s="12" t="inlineStr">
        <is>
          <t>XGBoost</t>
        </is>
      </c>
      <c r="D531" s="13" t="n">
        <v>0</v>
      </c>
      <c r="E531" s="13" t="n">
        <v>0.0246090162545442</v>
      </c>
      <c r="F531" s="13" t="n">
        <v>4.4</v>
      </c>
      <c r="G531" s="13">
        <f>D531+F531</f>
        <v/>
      </c>
      <c r="H531" s="13">
        <f>E531+F531</f>
        <v/>
      </c>
      <c r="I531" s="13">
        <f>ABS(D531-E531)</f>
        <v/>
      </c>
      <c r="J531" s="13">
        <f>(D531-E531)^2</f>
        <v/>
      </c>
      <c r="K531" s="14">
        <f>IF(ABS(G531)&lt;=1E-8,"",ABS((G531-H531)/G531))</f>
        <v/>
      </c>
    </row>
    <row r="532">
      <c r="A532" s="11" t="n">
        <v>45626</v>
      </c>
      <c r="B532" s="12" t="inlineStr">
        <is>
          <t>IT</t>
        </is>
      </c>
      <c r="C532" s="12" t="inlineStr">
        <is>
          <t>XGBoost</t>
        </is>
      </c>
      <c r="D532" s="13" t="n">
        <v>0.1000000000000005</v>
      </c>
      <c r="E532" s="13" t="n">
        <v>-0.0205119643360376</v>
      </c>
      <c r="F532" s="13" t="n">
        <v>6.1</v>
      </c>
      <c r="G532" s="13">
        <f>D532+F532</f>
        <v/>
      </c>
      <c r="H532" s="13">
        <f>E532+F532</f>
        <v/>
      </c>
      <c r="I532" s="13">
        <f>ABS(D532-E532)</f>
        <v/>
      </c>
      <c r="J532" s="13">
        <f>(D532-E532)^2</f>
        <v/>
      </c>
      <c r="K532" s="14">
        <f>IF(ABS(G532)&lt;=1E-8,"",ABS((G532-H532)/G532))</f>
        <v/>
      </c>
    </row>
    <row r="533">
      <c r="A533" s="11" t="n">
        <v>45626</v>
      </c>
      <c r="B533" s="12" t="inlineStr">
        <is>
          <t>JP</t>
        </is>
      </c>
      <c r="C533" s="12" t="inlineStr">
        <is>
          <t>XGBoost</t>
        </is>
      </c>
      <c r="D533" s="13" t="n">
        <v>0</v>
      </c>
      <c r="E533" s="13" t="n">
        <v>0.002565509872511</v>
      </c>
      <c r="F533" s="13" t="n">
        <v>2.5</v>
      </c>
      <c r="G533" s="13">
        <f>D533+F533</f>
        <v/>
      </c>
      <c r="H533" s="13">
        <f>E533+F533</f>
        <v/>
      </c>
      <c r="I533" s="13">
        <f>ABS(D533-E533)</f>
        <v/>
      </c>
      <c r="J533" s="13">
        <f>(D533-E533)^2</f>
        <v/>
      </c>
      <c r="K533" s="14">
        <f>IF(ABS(G533)&lt;=1E-8,"",ABS((G533-H533)/G533))</f>
        <v/>
      </c>
    </row>
    <row r="534">
      <c r="A534" s="11" t="n">
        <v>45626</v>
      </c>
      <c r="B534" s="12" t="inlineStr">
        <is>
          <t>KR</t>
        </is>
      </c>
      <c r="C534" s="12" t="inlineStr">
        <is>
          <t>XGBoost</t>
        </is>
      </c>
      <c r="D534" s="13" t="n">
        <v>0</v>
      </c>
      <c r="E534" s="13" t="n">
        <v>0.0190845523029565</v>
      </c>
      <c r="F534" s="13" t="n">
        <v>2.8</v>
      </c>
      <c r="G534" s="13">
        <f>D534+F534</f>
        <v/>
      </c>
      <c r="H534" s="13">
        <f>E534+F534</f>
        <v/>
      </c>
      <c r="I534" s="13">
        <f>ABS(D534-E534)</f>
        <v/>
      </c>
      <c r="J534" s="13">
        <f>(D534-E534)^2</f>
        <v/>
      </c>
      <c r="K534" s="14">
        <f>IF(ABS(G534)&lt;=1E-8,"",ABS((G534-H534)/G534))</f>
        <v/>
      </c>
    </row>
    <row r="535">
      <c r="A535" s="11" t="n">
        <v>45626</v>
      </c>
      <c r="B535" s="12" t="inlineStr">
        <is>
          <t>US</t>
        </is>
      </c>
      <c r="C535" s="12" t="inlineStr">
        <is>
          <t>XGBoost</t>
        </is>
      </c>
      <c r="D535" s="13" t="n">
        <v>0.1000000000000005</v>
      </c>
      <c r="E535" s="13" t="n">
        <v>0.008584677241742601</v>
      </c>
      <c r="F535" s="13" t="n">
        <v>4.1</v>
      </c>
      <c r="G535" s="13">
        <f>D535+F535</f>
        <v/>
      </c>
      <c r="H535" s="13">
        <f>E535+F535</f>
        <v/>
      </c>
      <c r="I535" s="13">
        <f>ABS(D535-E535)</f>
        <v/>
      </c>
      <c r="J535" s="13">
        <f>(D535-E535)^2</f>
        <v/>
      </c>
      <c r="K535" s="14">
        <f>IF(ABS(G535)&lt;=1E-8,"",ABS((G535-H535)/G535))</f>
        <v/>
      </c>
    </row>
    <row r="536">
      <c r="A536" s="11" t="n">
        <v>45657</v>
      </c>
      <c r="B536" s="12" t="inlineStr">
        <is>
          <t>AU</t>
        </is>
      </c>
      <c r="C536" s="12" t="inlineStr">
        <is>
          <t>XGBoost</t>
        </is>
      </c>
      <c r="D536" s="13" t="n">
        <v>0.0621260000000001</v>
      </c>
      <c r="E536" s="13" t="n">
        <v>0.009113553911447501</v>
      </c>
      <c r="F536" s="13" t="n">
        <v>3.93646</v>
      </c>
      <c r="G536" s="13">
        <f>D536+F536</f>
        <v/>
      </c>
      <c r="H536" s="13">
        <f>E536+F536</f>
        <v/>
      </c>
      <c r="I536" s="13">
        <f>ABS(D536-E536)</f>
        <v/>
      </c>
      <c r="J536" s="13">
        <f>(D536-E536)^2</f>
        <v/>
      </c>
      <c r="K536" s="14">
        <f>IF(ABS(G536)&lt;=1E-8,"",ABS((G536-H536)/G536))</f>
        <v/>
      </c>
    </row>
    <row r="537">
      <c r="A537" s="11" t="n">
        <v>45657</v>
      </c>
      <c r="B537" s="12" t="inlineStr">
        <is>
          <t>CA</t>
        </is>
      </c>
      <c r="C537" s="12" t="inlineStr">
        <is>
          <t>XGBoost</t>
        </is>
      </c>
      <c r="D537" s="13" t="n">
        <v>-0.2999999999999998</v>
      </c>
      <c r="E537" s="13" t="n">
        <v>0.009173815138638</v>
      </c>
      <c r="F537" s="13" t="n">
        <v>7</v>
      </c>
      <c r="G537" s="13">
        <f>D537+F537</f>
        <v/>
      </c>
      <c r="H537" s="13">
        <f>E537+F537</f>
        <v/>
      </c>
      <c r="I537" s="13">
        <f>ABS(D537-E537)</f>
        <v/>
      </c>
      <c r="J537" s="13">
        <f>(D537-E537)^2</f>
        <v/>
      </c>
      <c r="K537" s="14">
        <f>IF(ABS(G537)&lt;=1E-8,"",ABS((G537-H537)/G537))</f>
        <v/>
      </c>
    </row>
    <row r="538">
      <c r="A538" s="11" t="n">
        <v>45657</v>
      </c>
      <c r="B538" s="12" t="inlineStr">
        <is>
          <t>DE</t>
        </is>
      </c>
      <c r="C538" s="12" t="inlineStr">
        <is>
          <t>XGBoost</t>
        </is>
      </c>
      <c r="D538" s="13" t="n">
        <v>0.1</v>
      </c>
      <c r="E538" s="13" t="n">
        <v>0.0131314992904663</v>
      </c>
      <c r="F538" s="13" t="n">
        <v>3.4</v>
      </c>
      <c r="G538" s="13">
        <f>D538+F538</f>
        <v/>
      </c>
      <c r="H538" s="13">
        <f>E538+F538</f>
        <v/>
      </c>
      <c r="I538" s="13">
        <f>ABS(D538-E538)</f>
        <v/>
      </c>
      <c r="J538" s="13">
        <f>(D538-E538)^2</f>
        <v/>
      </c>
      <c r="K538" s="14">
        <f>IF(ABS(G538)&lt;=1E-8,"",ABS((G538-H538)/G538))</f>
        <v/>
      </c>
    </row>
    <row r="539">
      <c r="A539" s="11" t="n">
        <v>45657</v>
      </c>
      <c r="B539" s="12" t="inlineStr">
        <is>
          <t>FR</t>
        </is>
      </c>
      <c r="C539" s="12" t="inlineStr">
        <is>
          <t>XGBoost</t>
        </is>
      </c>
      <c r="D539" s="13" t="n">
        <v>-0.1000000000000005</v>
      </c>
      <c r="E539" s="13" t="n">
        <v>-0.0199265070259571</v>
      </c>
      <c r="F539" s="13" t="n">
        <v>7.4</v>
      </c>
      <c r="G539" s="13">
        <f>D539+F539</f>
        <v/>
      </c>
      <c r="H539" s="13">
        <f>E539+F539</f>
        <v/>
      </c>
      <c r="I539" s="13">
        <f>ABS(D539-E539)</f>
        <v/>
      </c>
      <c r="J539" s="13">
        <f>(D539-E539)^2</f>
        <v/>
      </c>
      <c r="K539" s="14">
        <f>IF(ABS(G539)&lt;=1E-8,"",ABS((G539-H539)/G539))</f>
        <v/>
      </c>
    </row>
    <row r="540">
      <c r="A540" s="11" t="n">
        <v>45657</v>
      </c>
      <c r="B540" s="12" t="inlineStr">
        <is>
          <t>GB</t>
        </is>
      </c>
      <c r="C540" s="12" t="inlineStr">
        <is>
          <t>XGBoost</t>
        </is>
      </c>
      <c r="D540" s="13" t="n">
        <v>0</v>
      </c>
      <c r="E540" s="13" t="n">
        <v>0.0428346209228038</v>
      </c>
      <c r="F540" s="13" t="n">
        <v>4.4</v>
      </c>
      <c r="G540" s="13">
        <f>D540+F540</f>
        <v/>
      </c>
      <c r="H540" s="13">
        <f>E540+F540</f>
        <v/>
      </c>
      <c r="I540" s="13">
        <f>ABS(D540-E540)</f>
        <v/>
      </c>
      <c r="J540" s="13">
        <f>(D540-E540)^2</f>
        <v/>
      </c>
      <c r="K540" s="14">
        <f>IF(ABS(G540)&lt;=1E-8,"",ABS((G540-H540)/G540))</f>
        <v/>
      </c>
    </row>
    <row r="541">
      <c r="A541" s="11" t="n">
        <v>45657</v>
      </c>
      <c r="B541" s="12" t="inlineStr">
        <is>
          <t>IT</t>
        </is>
      </c>
      <c r="C541" s="12" t="inlineStr">
        <is>
          <t>XGBoost</t>
        </is>
      </c>
      <c r="D541" s="13" t="n">
        <v>0.2000000000000001</v>
      </c>
      <c r="E541" s="13" t="n">
        <v>-0.0161751937121152</v>
      </c>
      <c r="F541" s="13" t="n">
        <v>6.2</v>
      </c>
      <c r="G541" s="13">
        <f>D541+F541</f>
        <v/>
      </c>
      <c r="H541" s="13">
        <f>E541+F541</f>
        <v/>
      </c>
      <c r="I541" s="13">
        <f>ABS(D541-E541)</f>
        <v/>
      </c>
      <c r="J541" s="13">
        <f>(D541-E541)^2</f>
        <v/>
      </c>
      <c r="K541" s="14">
        <f>IF(ABS(G541)&lt;=1E-8,"",ABS((G541-H541)/G541))</f>
        <v/>
      </c>
    </row>
    <row r="542">
      <c r="A542" s="11" t="n">
        <v>45657</v>
      </c>
      <c r="B542" s="12" t="inlineStr">
        <is>
          <t>JP</t>
        </is>
      </c>
      <c r="C542" s="12" t="inlineStr">
        <is>
          <t>XGBoost</t>
        </is>
      </c>
      <c r="D542" s="13" t="n">
        <v>0</v>
      </c>
      <c r="E542" s="13" t="n">
        <v>0.0047355825081467</v>
      </c>
      <c r="F542" s="13" t="n">
        <v>2.5</v>
      </c>
      <c r="G542" s="13">
        <f>D542+F542</f>
        <v/>
      </c>
      <c r="H542" s="13">
        <f>E542+F542</f>
        <v/>
      </c>
      <c r="I542" s="13">
        <f>ABS(D542-E542)</f>
        <v/>
      </c>
      <c r="J542" s="13">
        <f>(D542-E542)^2</f>
        <v/>
      </c>
      <c r="K542" s="14">
        <f>IF(ABS(G542)&lt;=1E-8,"",ABS((G542-H542)/G542))</f>
        <v/>
      </c>
    </row>
    <row r="543">
      <c r="A543" s="11" t="n">
        <v>45657</v>
      </c>
      <c r="B543" s="12" t="inlineStr">
        <is>
          <t>KR</t>
        </is>
      </c>
      <c r="C543" s="12" t="inlineStr">
        <is>
          <t>XGBoost</t>
        </is>
      </c>
      <c r="D543" s="13" t="n">
        <v>0.3000000000000002</v>
      </c>
      <c r="E543" s="13" t="n">
        <v>0.0426690764725208</v>
      </c>
      <c r="F543" s="13" t="n">
        <v>2.8</v>
      </c>
      <c r="G543" s="13">
        <f>D543+F543</f>
        <v/>
      </c>
      <c r="H543" s="13">
        <f>E543+F543</f>
        <v/>
      </c>
      <c r="I543" s="13">
        <f>ABS(D543-E543)</f>
        <v/>
      </c>
      <c r="J543" s="13">
        <f>(D543-E543)^2</f>
        <v/>
      </c>
      <c r="K543" s="14">
        <f>IF(ABS(G543)&lt;=1E-8,"",ABS((G543-H543)/G543))</f>
        <v/>
      </c>
    </row>
    <row r="544">
      <c r="A544" s="11" t="n">
        <v>45657</v>
      </c>
      <c r="B544" s="12" t="inlineStr">
        <is>
          <t>US</t>
        </is>
      </c>
      <c r="C544" s="12" t="inlineStr">
        <is>
          <t>XGBoost</t>
        </is>
      </c>
      <c r="D544" s="13" t="n">
        <v>-0.1000000000000005</v>
      </c>
      <c r="E544" s="13" t="n">
        <v>0.0193892456591129</v>
      </c>
      <c r="F544" s="13" t="n">
        <v>4.2</v>
      </c>
      <c r="G544" s="13">
        <f>D544+F544</f>
        <v/>
      </c>
      <c r="H544" s="13">
        <f>E544+F544</f>
        <v/>
      </c>
      <c r="I544" s="13">
        <f>ABS(D544-E544)</f>
        <v/>
      </c>
      <c r="J544" s="13">
        <f>(D544-E544)^2</f>
        <v/>
      </c>
      <c r="K544" s="14">
        <f>IF(ABS(G544)&lt;=1E-8,"",ABS((G544-H544)/G544))</f>
        <v/>
      </c>
    </row>
    <row r="545">
      <c r="A545" s="11" t="n">
        <v>45688</v>
      </c>
      <c r="B545" s="12" t="inlineStr">
        <is>
          <t>AU</t>
        </is>
      </c>
      <c r="C545" s="12" t="inlineStr">
        <is>
          <t>XGBoost</t>
        </is>
      </c>
      <c r="D545" s="13" t="n">
        <v>0.1283800000000003</v>
      </c>
      <c r="E545" s="13" t="n">
        <v>0.0080962246283888</v>
      </c>
      <c r="F545" s="13" t="n">
        <v>3.998586</v>
      </c>
      <c r="G545" s="13">
        <f>D545+F545</f>
        <v/>
      </c>
      <c r="H545" s="13">
        <f>E545+F545</f>
        <v/>
      </c>
      <c r="I545" s="13">
        <f>ABS(D545-E545)</f>
        <v/>
      </c>
      <c r="J545" s="13">
        <f>(D545-E545)^2</f>
        <v/>
      </c>
      <c r="K545" s="14">
        <f>IF(ABS(G545)&lt;=1E-8,"",ABS((G545-H545)/G545))</f>
        <v/>
      </c>
    </row>
    <row r="546">
      <c r="A546" s="11" t="n">
        <v>45688</v>
      </c>
      <c r="B546" s="12" t="inlineStr">
        <is>
          <t>CA</t>
        </is>
      </c>
      <c r="C546" s="12" t="inlineStr">
        <is>
          <t>XGBoost</t>
        </is>
      </c>
      <c r="D546" s="13" t="n">
        <v>0</v>
      </c>
      <c r="E546" s="13" t="n">
        <v>0.0141668189316988</v>
      </c>
      <c r="F546" s="13" t="n">
        <v>6.7</v>
      </c>
      <c r="G546" s="13">
        <f>D546+F546</f>
        <v/>
      </c>
      <c r="H546" s="13">
        <f>E546+F546</f>
        <v/>
      </c>
      <c r="I546" s="13">
        <f>ABS(D546-E546)</f>
        <v/>
      </c>
      <c r="J546" s="13">
        <f>(D546-E546)^2</f>
        <v/>
      </c>
      <c r="K546" s="14">
        <f>IF(ABS(G546)&lt;=1E-8,"",ABS((G546-H546)/G546))</f>
        <v/>
      </c>
    </row>
    <row r="547">
      <c r="A547" s="11" t="n">
        <v>45688</v>
      </c>
      <c r="B547" s="12" t="inlineStr">
        <is>
          <t>DE</t>
        </is>
      </c>
      <c r="C547" s="12" t="inlineStr">
        <is>
          <t>XGBoost</t>
        </is>
      </c>
      <c r="D547" s="13" t="n">
        <v>0</v>
      </c>
      <c r="E547" s="13" t="n">
        <v>-0.0041197715327143</v>
      </c>
      <c r="F547" s="13" t="n">
        <v>3.5</v>
      </c>
      <c r="G547" s="13">
        <f>D547+F547</f>
        <v/>
      </c>
      <c r="H547" s="13">
        <f>E547+F547</f>
        <v/>
      </c>
      <c r="I547" s="13">
        <f>ABS(D547-E547)</f>
        <v/>
      </c>
      <c r="J547" s="13">
        <f>(D547-E547)^2</f>
        <v/>
      </c>
      <c r="K547" s="14">
        <f>IF(ABS(G547)&lt;=1E-8,"",ABS((G547-H547)/G547))</f>
        <v/>
      </c>
    </row>
    <row r="548">
      <c r="A548" s="11" t="n">
        <v>45688</v>
      </c>
      <c r="B548" s="12" t="inlineStr">
        <is>
          <t>FR</t>
        </is>
      </c>
      <c r="C548" s="12" t="inlineStr">
        <is>
          <t>XGBoost</t>
        </is>
      </c>
      <c r="D548" s="13" t="n">
        <v>0</v>
      </c>
      <c r="E548" s="13" t="n">
        <v>-0.010669439099729</v>
      </c>
      <c r="F548" s="13" t="n">
        <v>7.3</v>
      </c>
      <c r="G548" s="13">
        <f>D548+F548</f>
        <v/>
      </c>
      <c r="H548" s="13">
        <f>E548+F548</f>
        <v/>
      </c>
      <c r="I548" s="13">
        <f>ABS(D548-E548)</f>
        <v/>
      </c>
      <c r="J548" s="13">
        <f>(D548-E548)^2</f>
        <v/>
      </c>
      <c r="K548" s="14">
        <f>IF(ABS(G548)&lt;=1E-8,"",ABS((G548-H548)/G548))</f>
        <v/>
      </c>
    </row>
    <row r="549">
      <c r="A549" s="11" t="n">
        <v>45688</v>
      </c>
      <c r="B549" s="12" t="inlineStr">
        <is>
          <t>GB</t>
        </is>
      </c>
      <c r="C549" s="12" t="inlineStr">
        <is>
          <t>XGBoost</t>
        </is>
      </c>
      <c r="D549" s="13" t="n">
        <v>0.0999999999999996</v>
      </c>
      <c r="E549" s="13" t="n">
        <v>0.0028743785806</v>
      </c>
      <c r="F549" s="13" t="n">
        <v>4.4</v>
      </c>
      <c r="G549" s="13">
        <f>D549+F549</f>
        <v/>
      </c>
      <c r="H549" s="13">
        <f>E549+F549</f>
        <v/>
      </c>
      <c r="I549" s="13">
        <f>ABS(D549-E549)</f>
        <v/>
      </c>
      <c r="J549" s="13">
        <f>(D549-E549)^2</f>
        <v/>
      </c>
      <c r="K549" s="14">
        <f>IF(ABS(G549)&lt;=1E-8,"",ABS((G549-H549)/G549))</f>
        <v/>
      </c>
    </row>
    <row r="550">
      <c r="A550" s="11" t="n">
        <v>45688</v>
      </c>
      <c r="B550" s="12" t="inlineStr">
        <is>
          <t>IT</t>
        </is>
      </c>
      <c r="C550" s="12" t="inlineStr">
        <is>
          <t>XGBoost</t>
        </is>
      </c>
      <c r="D550" s="13" t="n">
        <v>0.0999999999999996</v>
      </c>
      <c r="E550" s="13" t="n">
        <v>-0.0237838197499513</v>
      </c>
      <c r="F550" s="13" t="n">
        <v>6.4</v>
      </c>
      <c r="G550" s="13">
        <f>D550+F550</f>
        <v/>
      </c>
      <c r="H550" s="13">
        <f>E550+F550</f>
        <v/>
      </c>
      <c r="I550" s="13">
        <f>ABS(D550-E550)</f>
        <v/>
      </c>
      <c r="J550" s="13">
        <f>(D550-E550)^2</f>
        <v/>
      </c>
      <c r="K550" s="14">
        <f>IF(ABS(G550)&lt;=1E-8,"",ABS((G550-H550)/G550))</f>
        <v/>
      </c>
    </row>
    <row r="551">
      <c r="A551" s="11" t="n">
        <v>45688</v>
      </c>
      <c r="B551" s="12" t="inlineStr">
        <is>
          <t>JP</t>
        </is>
      </c>
      <c r="C551" s="12" t="inlineStr">
        <is>
          <t>XGBoost</t>
        </is>
      </c>
      <c r="D551" s="13" t="n">
        <v>0</v>
      </c>
      <c r="E551" s="13" t="n">
        <v>0.0202545560896396</v>
      </c>
      <c r="F551" s="13" t="n">
        <v>2.5</v>
      </c>
      <c r="G551" s="13">
        <f>D551+F551</f>
        <v/>
      </c>
      <c r="H551" s="13">
        <f>E551+F551</f>
        <v/>
      </c>
      <c r="I551" s="13">
        <f>ABS(D551-E551)</f>
        <v/>
      </c>
      <c r="J551" s="13">
        <f>(D551-E551)^2</f>
        <v/>
      </c>
      <c r="K551" s="14">
        <f>IF(ABS(G551)&lt;=1E-8,"",ABS((G551-H551)/G551))</f>
        <v/>
      </c>
    </row>
    <row r="552">
      <c r="A552" s="11" t="n">
        <v>45688</v>
      </c>
      <c r="B552" s="12" t="inlineStr">
        <is>
          <t>KR</t>
        </is>
      </c>
      <c r="C552" s="12" t="inlineStr">
        <is>
          <t>XGBoost</t>
        </is>
      </c>
      <c r="D552" s="13" t="n">
        <v>-0.3000000000000002</v>
      </c>
      <c r="E552" s="13" t="n">
        <v>0.0254758056253194</v>
      </c>
      <c r="F552" s="13" t="n">
        <v>3.1</v>
      </c>
      <c r="G552" s="13">
        <f>D552+F552</f>
        <v/>
      </c>
      <c r="H552" s="13">
        <f>E552+F552</f>
        <v/>
      </c>
      <c r="I552" s="13">
        <f>ABS(D552-E552)</f>
        <v/>
      </c>
      <c r="J552" s="13">
        <f>(D552-E552)^2</f>
        <v/>
      </c>
      <c r="K552" s="14">
        <f>IF(ABS(G552)&lt;=1E-8,"",ABS((G552-H552)/G552))</f>
        <v/>
      </c>
    </row>
    <row r="553">
      <c r="A553" s="11" t="n">
        <v>45688</v>
      </c>
      <c r="B553" s="12" t="inlineStr">
        <is>
          <t>US</t>
        </is>
      </c>
      <c r="C553" s="12" t="inlineStr">
        <is>
          <t>XGBoost</t>
        </is>
      </c>
      <c r="D553" s="13" t="n">
        <v>-0.0999999999999996</v>
      </c>
      <c r="E553" s="13" t="n">
        <v>0.007435105741024</v>
      </c>
      <c r="F553" s="13" t="n">
        <v>4.1</v>
      </c>
      <c r="G553" s="13">
        <f>D553+F553</f>
        <v/>
      </c>
      <c r="H553" s="13">
        <f>E553+F553</f>
        <v/>
      </c>
      <c r="I553" s="13">
        <f>ABS(D553-E553)</f>
        <v/>
      </c>
      <c r="J553" s="13">
        <f>(D553-E553)^2</f>
        <v/>
      </c>
      <c r="K553" s="14">
        <f>IF(ABS(G553)&lt;=1E-8,"",ABS((G553-H553)/G553))</f>
        <v/>
      </c>
    </row>
    <row r="554">
      <c r="A554" s="11" t="n">
        <v>45716</v>
      </c>
      <c r="B554" s="12" t="inlineStr">
        <is>
          <t>AU</t>
        </is>
      </c>
      <c r="C554" s="12" t="inlineStr">
        <is>
          <t>XGBoost</t>
        </is>
      </c>
      <c r="D554" s="13" t="n">
        <v>-0.0528409999999999</v>
      </c>
      <c r="E554" s="13" t="n">
        <v>-0.0147037217393517</v>
      </c>
      <c r="F554" s="13" t="n">
        <v>4.126966</v>
      </c>
      <c r="G554" s="13">
        <f>D554+F554</f>
        <v/>
      </c>
      <c r="H554" s="13">
        <f>E554+F554</f>
        <v/>
      </c>
      <c r="I554" s="13">
        <f>ABS(D554-E554)</f>
        <v/>
      </c>
      <c r="J554" s="13">
        <f>(D554-E554)^2</f>
        <v/>
      </c>
      <c r="K554" s="14">
        <f>IF(ABS(G554)&lt;=1E-8,"",ABS((G554-H554)/G554))</f>
        <v/>
      </c>
    </row>
    <row r="555">
      <c r="A555" s="11" t="n">
        <v>45716</v>
      </c>
      <c r="B555" s="12" t="inlineStr">
        <is>
          <t>CA</t>
        </is>
      </c>
      <c r="C555" s="12" t="inlineStr">
        <is>
          <t>XGBoost</t>
        </is>
      </c>
      <c r="D555" s="13" t="n">
        <v>-0.1000000000000005</v>
      </c>
      <c r="E555" s="13" t="n">
        <v>-0.0309936515986919</v>
      </c>
      <c r="F555" s="13" t="n">
        <v>6.7</v>
      </c>
      <c r="G555" s="13">
        <f>D555+F555</f>
        <v/>
      </c>
      <c r="H555" s="13">
        <f>E555+F555</f>
        <v/>
      </c>
      <c r="I555" s="13">
        <f>ABS(D555-E555)</f>
        <v/>
      </c>
      <c r="J555" s="13">
        <f>(D555-E555)^2</f>
        <v/>
      </c>
      <c r="K555" s="14">
        <f>IF(ABS(G555)&lt;=1E-8,"",ABS((G555-H555)/G555))</f>
        <v/>
      </c>
    </row>
    <row r="556">
      <c r="A556" s="11" t="n">
        <v>45716</v>
      </c>
      <c r="B556" s="12" t="inlineStr">
        <is>
          <t>DE</t>
        </is>
      </c>
      <c r="C556" s="12" t="inlineStr">
        <is>
          <t>XGBoost</t>
        </is>
      </c>
      <c r="D556" s="13" t="n">
        <v>0.1</v>
      </c>
      <c r="E556" s="13" t="n">
        <v>0.0094735566526651</v>
      </c>
      <c r="F556" s="13" t="n">
        <v>3.5</v>
      </c>
      <c r="G556" s="13">
        <f>D556+F556</f>
        <v/>
      </c>
      <c r="H556" s="13">
        <f>E556+F556</f>
        <v/>
      </c>
      <c r="I556" s="13">
        <f>ABS(D556-E556)</f>
        <v/>
      </c>
      <c r="J556" s="13">
        <f>(D556-E556)^2</f>
        <v/>
      </c>
      <c r="K556" s="14">
        <f>IF(ABS(G556)&lt;=1E-8,"",ABS((G556-H556)/G556))</f>
        <v/>
      </c>
    </row>
    <row r="557">
      <c r="A557" s="11" t="n">
        <v>45716</v>
      </c>
      <c r="B557" s="12" t="inlineStr">
        <is>
          <t>FR</t>
        </is>
      </c>
      <c r="C557" s="12" t="inlineStr">
        <is>
          <t>XGBoost</t>
        </is>
      </c>
      <c r="D557" s="13" t="n">
        <v>0.2000000000000001</v>
      </c>
      <c r="E557" s="13" t="n">
        <v>-0.026518952101469</v>
      </c>
      <c r="F557" s="13" t="n">
        <v>7.3</v>
      </c>
      <c r="G557" s="13">
        <f>D557+F557</f>
        <v/>
      </c>
      <c r="H557" s="13">
        <f>E557+F557</f>
        <v/>
      </c>
      <c r="I557" s="13">
        <f>ABS(D557-E557)</f>
        <v/>
      </c>
      <c r="J557" s="13">
        <f>(D557-E557)^2</f>
        <v/>
      </c>
      <c r="K557" s="14">
        <f>IF(ABS(G557)&lt;=1E-8,"",ABS((G557-H557)/G557))</f>
        <v/>
      </c>
    </row>
    <row r="558">
      <c r="A558" s="11" t="n">
        <v>45716</v>
      </c>
      <c r="B558" s="12" t="inlineStr">
        <is>
          <t>GB</t>
        </is>
      </c>
      <c r="C558" s="12" t="inlineStr">
        <is>
          <t>XGBoost</t>
        </is>
      </c>
      <c r="D558" s="13" t="n">
        <v>0.0999999999999996</v>
      </c>
      <c r="E558" s="13" t="n">
        <v>-0.0201246794313192</v>
      </c>
      <c r="F558" s="13" t="n">
        <v>4.5</v>
      </c>
      <c r="G558" s="13">
        <f>D558+F558</f>
        <v/>
      </c>
      <c r="H558" s="13">
        <f>E558+F558</f>
        <v/>
      </c>
      <c r="I558" s="13">
        <f>ABS(D558-E558)</f>
        <v/>
      </c>
      <c r="J558" s="13">
        <f>(D558-E558)^2</f>
        <v/>
      </c>
      <c r="K558" s="14">
        <f>IF(ABS(G558)&lt;=1E-8,"",ABS((G558-H558)/G558))</f>
        <v/>
      </c>
    </row>
    <row r="559">
      <c r="A559" s="11" t="n">
        <v>45716</v>
      </c>
      <c r="B559" s="12" t="inlineStr">
        <is>
          <t>IT</t>
        </is>
      </c>
      <c r="C559" s="12" t="inlineStr">
        <is>
          <t>XGBoost</t>
        </is>
      </c>
      <c r="D559" s="13" t="n">
        <v>-0.4000000000000003</v>
      </c>
      <c r="E559" s="13" t="n">
        <v>-0.0211224947124719</v>
      </c>
      <c r="F559" s="13" t="n">
        <v>6.5</v>
      </c>
      <c r="G559" s="13">
        <f>D559+F559</f>
        <v/>
      </c>
      <c r="H559" s="13">
        <f>E559+F559</f>
        <v/>
      </c>
      <c r="I559" s="13">
        <f>ABS(D559-E559)</f>
        <v/>
      </c>
      <c r="J559" s="13">
        <f>(D559-E559)^2</f>
        <v/>
      </c>
      <c r="K559" s="14">
        <f>IF(ABS(G559)&lt;=1E-8,"",ABS((G559-H559)/G559))</f>
        <v/>
      </c>
    </row>
    <row r="560">
      <c r="A560" s="11" t="n">
        <v>45716</v>
      </c>
      <c r="B560" s="12" t="inlineStr">
        <is>
          <t>JP</t>
        </is>
      </c>
      <c r="C560" s="12" t="inlineStr">
        <is>
          <t>XGBoost</t>
        </is>
      </c>
      <c r="D560" s="13" t="n">
        <v>-0.1</v>
      </c>
      <c r="E560" s="13" t="n">
        <v>0.0101334108039736</v>
      </c>
      <c r="F560" s="13" t="n">
        <v>2.5</v>
      </c>
      <c r="G560" s="13">
        <f>D560+F560</f>
        <v/>
      </c>
      <c r="H560" s="13">
        <f>E560+F560</f>
        <v/>
      </c>
      <c r="I560" s="13">
        <f>ABS(D560-E560)</f>
        <v/>
      </c>
      <c r="J560" s="13">
        <f>(D560-E560)^2</f>
        <v/>
      </c>
      <c r="K560" s="14">
        <f>IF(ABS(G560)&lt;=1E-8,"",ABS((G560-H560)/G560))</f>
        <v/>
      </c>
    </row>
    <row r="561">
      <c r="A561" s="11" t="n">
        <v>45716</v>
      </c>
      <c r="B561" s="12" t="inlineStr">
        <is>
          <t>KR</t>
        </is>
      </c>
      <c r="C561" s="12" t="inlineStr">
        <is>
          <t>XGBoost</t>
        </is>
      </c>
      <c r="D561" s="13" t="n">
        <v>0</v>
      </c>
      <c r="E561" s="13" t="n">
        <v>0.0207392834126949</v>
      </c>
      <c r="F561" s="13" t="n">
        <v>2.8</v>
      </c>
      <c r="G561" s="13">
        <f>D561+F561</f>
        <v/>
      </c>
      <c r="H561" s="13">
        <f>E561+F561</f>
        <v/>
      </c>
      <c r="I561" s="13">
        <f>ABS(D561-E561)</f>
        <v/>
      </c>
      <c r="J561" s="13">
        <f>(D561-E561)^2</f>
        <v/>
      </c>
      <c r="K561" s="14">
        <f>IF(ABS(G561)&lt;=1E-8,"",ABS((G561-H561)/G561))</f>
        <v/>
      </c>
    </row>
    <row r="562">
      <c r="A562" s="11" t="n">
        <v>45716</v>
      </c>
      <c r="B562" s="12" t="inlineStr">
        <is>
          <t>US</t>
        </is>
      </c>
      <c r="C562" s="12" t="inlineStr">
        <is>
          <t>XGBoost</t>
        </is>
      </c>
      <c r="D562" s="13" t="n">
        <v>0.2000000000000001</v>
      </c>
      <c r="E562" s="13" t="n">
        <v>-0.0019560598302632</v>
      </c>
      <c r="F562" s="13" t="n">
        <v>4</v>
      </c>
      <c r="G562" s="13">
        <f>D562+F562</f>
        <v/>
      </c>
      <c r="H562" s="13">
        <f>E562+F562</f>
        <v/>
      </c>
      <c r="I562" s="13">
        <f>ABS(D562-E562)</f>
        <v/>
      </c>
      <c r="J562" s="13">
        <f>(D562-E562)^2</f>
        <v/>
      </c>
      <c r="K562" s="14">
        <f>IF(ABS(G562)&lt;=1E-8,"",ABS((G562-H562)/G562))</f>
        <v/>
      </c>
    </row>
    <row r="563">
      <c r="A563" s="11" t="n">
        <v>45747</v>
      </c>
      <c r="B563" s="12" t="inlineStr">
        <is>
          <t>AU</t>
        </is>
      </c>
      <c r="C563" s="12" t="inlineStr">
        <is>
          <t>XGBoost</t>
        </is>
      </c>
      <c r="D563" s="13" t="n">
        <v>0.0085119999999996</v>
      </c>
      <c r="E563" s="13" t="n">
        <v>0.0111556053161621</v>
      </c>
      <c r="F563" s="13" t="n">
        <v>4.074125</v>
      </c>
      <c r="G563" s="13">
        <f>D563+F563</f>
        <v/>
      </c>
      <c r="H563" s="13">
        <f>E563+F563</f>
        <v/>
      </c>
      <c r="I563" s="13">
        <f>ABS(D563-E563)</f>
        <v/>
      </c>
      <c r="J563" s="13">
        <f>(D563-E563)^2</f>
        <v/>
      </c>
      <c r="K563" s="14">
        <f>IF(ABS(G563)&lt;=1E-8,"",ABS((G563-H563)/G563))</f>
        <v/>
      </c>
    </row>
    <row r="564">
      <c r="A564" s="11" t="n">
        <v>45747</v>
      </c>
      <c r="B564" s="12" t="inlineStr">
        <is>
          <t>CA</t>
        </is>
      </c>
      <c r="C564" s="12" t="inlineStr">
        <is>
          <t>XGBoost</t>
        </is>
      </c>
      <c r="D564" s="13" t="n">
        <v>0.2000000000000001</v>
      </c>
      <c r="E564" s="13" t="n">
        <v>-0.0169291626662015</v>
      </c>
      <c r="F564" s="13" t="n">
        <v>6.6</v>
      </c>
      <c r="G564" s="13">
        <f>D564+F564</f>
        <v/>
      </c>
      <c r="H564" s="13">
        <f>E564+F564</f>
        <v/>
      </c>
      <c r="I564" s="13">
        <f>ABS(D564-E564)</f>
        <v/>
      </c>
      <c r="J564" s="13">
        <f>(D564-E564)^2</f>
        <v/>
      </c>
      <c r="K564" s="14">
        <f>IF(ABS(G564)&lt;=1E-8,"",ABS((G564-H564)/G564))</f>
        <v/>
      </c>
    </row>
    <row r="565">
      <c r="A565" s="11" t="n">
        <v>45747</v>
      </c>
      <c r="B565" s="12" t="inlineStr">
        <is>
          <t>DE</t>
        </is>
      </c>
      <c r="C565" s="12" t="inlineStr">
        <is>
          <t>XGBoost</t>
        </is>
      </c>
      <c r="D565" s="13" t="n">
        <v>0</v>
      </c>
      <c r="E565" s="13" t="n">
        <v>0.0171415023505687</v>
      </c>
      <c r="F565" s="13" t="n">
        <v>3.6</v>
      </c>
      <c r="G565" s="13">
        <f>D565+F565</f>
        <v/>
      </c>
      <c r="H565" s="13">
        <f>E565+F565</f>
        <v/>
      </c>
      <c r="I565" s="13">
        <f>ABS(D565-E565)</f>
        <v/>
      </c>
      <c r="J565" s="13">
        <f>(D565-E565)^2</f>
        <v/>
      </c>
      <c r="K565" s="14">
        <f>IF(ABS(G565)&lt;=1E-8,"",ABS((G565-H565)/G565))</f>
        <v/>
      </c>
    </row>
    <row r="566">
      <c r="A566" s="11" t="n">
        <v>45747</v>
      </c>
      <c r="B566" s="12" t="inlineStr">
        <is>
          <t>FR</t>
        </is>
      </c>
      <c r="C566" s="12" t="inlineStr">
        <is>
          <t>XGBoost</t>
        </is>
      </c>
      <c r="D566" s="13" t="n">
        <v>0.0999999999999996</v>
      </c>
      <c r="E566" s="13" t="n">
        <v>-0.0054530738852918</v>
      </c>
      <c r="F566" s="13" t="n">
        <v>7.5</v>
      </c>
      <c r="G566" s="13">
        <f>D566+F566</f>
        <v/>
      </c>
      <c r="H566" s="13">
        <f>E566+F566</f>
        <v/>
      </c>
      <c r="I566" s="13">
        <f>ABS(D566-E566)</f>
        <v/>
      </c>
      <c r="J566" s="13">
        <f>(D566-E566)^2</f>
        <v/>
      </c>
      <c r="K566" s="14">
        <f>IF(ABS(G566)&lt;=1E-8,"",ABS((G566-H566)/G566))</f>
        <v/>
      </c>
    </row>
    <row r="567">
      <c r="A567" s="11" t="n">
        <v>45747</v>
      </c>
      <c r="B567" s="12" t="inlineStr">
        <is>
          <t>GB</t>
        </is>
      </c>
      <c r="C567" s="12" t="inlineStr">
        <is>
          <t>XGBoost</t>
        </is>
      </c>
      <c r="D567" s="13" t="n">
        <v>0</v>
      </c>
      <c r="E567" s="13" t="n">
        <v>-0.0037230444140732</v>
      </c>
      <c r="F567" s="13" t="n">
        <v>4.6</v>
      </c>
      <c r="G567" s="13">
        <f>D567+F567</f>
        <v/>
      </c>
      <c r="H567" s="13">
        <f>E567+F567</f>
        <v/>
      </c>
      <c r="I567" s="13">
        <f>ABS(D567-E567)</f>
        <v/>
      </c>
      <c r="J567" s="13">
        <f>(D567-E567)^2</f>
        <v/>
      </c>
      <c r="K567" s="14">
        <f>IF(ABS(G567)&lt;=1E-8,"",ABS((G567-H567)/G567))</f>
        <v/>
      </c>
    </row>
    <row r="568">
      <c r="A568" s="11" t="n">
        <v>45747</v>
      </c>
      <c r="B568" s="12" t="inlineStr">
        <is>
          <t>IT</t>
        </is>
      </c>
      <c r="C568" s="12" t="inlineStr">
        <is>
          <t>XGBoost</t>
        </is>
      </c>
      <c r="D568" s="13" t="n">
        <v>0.2000000000000001</v>
      </c>
      <c r="E568" s="13" t="n">
        <v>-0.0033680787310004</v>
      </c>
      <c r="F568" s="13" t="n">
        <v>6.1</v>
      </c>
      <c r="G568" s="13">
        <f>D568+F568</f>
        <v/>
      </c>
      <c r="H568" s="13">
        <f>E568+F568</f>
        <v/>
      </c>
      <c r="I568" s="13">
        <f>ABS(D568-E568)</f>
        <v/>
      </c>
      <c r="J568" s="13">
        <f>(D568-E568)^2</f>
        <v/>
      </c>
      <c r="K568" s="14">
        <f>IF(ABS(G568)&lt;=1E-8,"",ABS((G568-H568)/G568))</f>
        <v/>
      </c>
    </row>
    <row r="569">
      <c r="A569" s="11" t="n">
        <v>45747</v>
      </c>
      <c r="B569" s="12" t="inlineStr">
        <is>
          <t>JP</t>
        </is>
      </c>
      <c r="C569" s="12" t="inlineStr">
        <is>
          <t>XGBoost</t>
        </is>
      </c>
      <c r="D569" s="13" t="n">
        <v>0.1</v>
      </c>
      <c r="E569" s="13" t="n">
        <v>0.0172946546226739</v>
      </c>
      <c r="F569" s="13" t="n">
        <v>2.4</v>
      </c>
      <c r="G569" s="13">
        <f>D569+F569</f>
        <v/>
      </c>
      <c r="H569" s="13">
        <f>E569+F569</f>
        <v/>
      </c>
      <c r="I569" s="13">
        <f>ABS(D569-E569)</f>
        <v/>
      </c>
      <c r="J569" s="13">
        <f>(D569-E569)^2</f>
        <v/>
      </c>
      <c r="K569" s="14">
        <f>IF(ABS(G569)&lt;=1E-8,"",ABS((G569-H569)/G569))</f>
        <v/>
      </c>
    </row>
    <row r="570">
      <c r="A570" s="11" t="n">
        <v>45747</v>
      </c>
      <c r="B570" s="12" t="inlineStr">
        <is>
          <t>KR</t>
        </is>
      </c>
      <c r="C570" s="12" t="inlineStr">
        <is>
          <t>XGBoost</t>
        </is>
      </c>
      <c r="D570" s="13" t="n">
        <v>0</v>
      </c>
      <c r="E570" s="13" t="n">
        <v>0.0209758635610342</v>
      </c>
      <c r="F570" s="13" t="n">
        <v>2.8</v>
      </c>
      <c r="G570" s="13">
        <f>D570+F570</f>
        <v/>
      </c>
      <c r="H570" s="13">
        <f>E570+F570</f>
        <v/>
      </c>
      <c r="I570" s="13">
        <f>ABS(D570-E570)</f>
        <v/>
      </c>
      <c r="J570" s="13">
        <f>(D570-E570)^2</f>
        <v/>
      </c>
      <c r="K570" s="14">
        <f>IF(ABS(G570)&lt;=1E-8,"",ABS((G570-H570)/G570))</f>
        <v/>
      </c>
    </row>
    <row r="571">
      <c r="A571" s="11" t="n">
        <v>45747</v>
      </c>
      <c r="B571" s="12" t="inlineStr">
        <is>
          <t>US</t>
        </is>
      </c>
      <c r="C571" s="12" t="inlineStr">
        <is>
          <t>XGBoost</t>
        </is>
      </c>
      <c r="D571" s="13" t="n">
        <v>0</v>
      </c>
      <c r="E571" s="13" t="n">
        <v>0.0019522737711668</v>
      </c>
      <c r="F571" s="13" t="n">
        <v>4.2</v>
      </c>
      <c r="G571" s="13">
        <f>D571+F571</f>
        <v/>
      </c>
      <c r="H571" s="13">
        <f>E571+F571</f>
        <v/>
      </c>
      <c r="I571" s="13">
        <f>ABS(D571-E571)</f>
        <v/>
      </c>
      <c r="J571" s="13">
        <f>(D571-E571)^2</f>
        <v/>
      </c>
      <c r="K571" s="14">
        <f>IF(ABS(G571)&lt;=1E-8,"",ABS((G571-H571)/G571))</f>
        <v/>
      </c>
    </row>
    <row r="572">
      <c r="A572" s="11" t="n">
        <v>45777</v>
      </c>
      <c r="B572" s="12" t="inlineStr">
        <is>
          <t>AU</t>
        </is>
      </c>
      <c r="C572" s="12" t="inlineStr">
        <is>
          <t>XGBoost</t>
        </is>
      </c>
      <c r="D572" s="13" t="n">
        <v>-0.0279340000000001</v>
      </c>
      <c r="E572" s="13" t="n">
        <v>-0.0210904628038406</v>
      </c>
      <c r="F572" s="13" t="n">
        <v>4.082637</v>
      </c>
      <c r="G572" s="13">
        <f>D572+F572</f>
        <v/>
      </c>
      <c r="H572" s="13">
        <f>E572+F572</f>
        <v/>
      </c>
      <c r="I572" s="13">
        <f>ABS(D572-E572)</f>
        <v/>
      </c>
      <c r="J572" s="13">
        <f>(D572-E572)^2</f>
        <v/>
      </c>
      <c r="K572" s="14">
        <f>IF(ABS(G572)&lt;=1E-8,"",ABS((G572-H572)/G572))</f>
        <v/>
      </c>
    </row>
    <row r="573">
      <c r="A573" s="11" t="n">
        <v>45777</v>
      </c>
      <c r="B573" s="12" t="inlineStr">
        <is>
          <t>CA</t>
        </is>
      </c>
      <c r="C573" s="12" t="inlineStr">
        <is>
          <t>XGBoost</t>
        </is>
      </c>
      <c r="D573" s="13" t="n">
        <v>0.1000000000000005</v>
      </c>
      <c r="E573" s="13" t="n">
        <v>-0.0342787355184555</v>
      </c>
      <c r="F573" s="13" t="n">
        <v>6.8</v>
      </c>
      <c r="G573" s="13">
        <f>D573+F573</f>
        <v/>
      </c>
      <c r="H573" s="13">
        <f>E573+F573</f>
        <v/>
      </c>
      <c r="I573" s="13">
        <f>ABS(D573-E573)</f>
        <v/>
      </c>
      <c r="J573" s="13">
        <f>(D573-E573)^2</f>
        <v/>
      </c>
      <c r="K573" s="14">
        <f>IF(ABS(G573)&lt;=1E-8,"",ABS((G573-H573)/G573))</f>
        <v/>
      </c>
    </row>
    <row r="574">
      <c r="A574" s="11" t="n">
        <v>45777</v>
      </c>
      <c r="B574" s="12" t="inlineStr">
        <is>
          <t>DE</t>
        </is>
      </c>
      <c r="C574" s="12" t="inlineStr">
        <is>
          <t>XGBoost</t>
        </is>
      </c>
      <c r="D574" s="13" t="n">
        <v>0.1</v>
      </c>
      <c r="E574" s="13" t="n">
        <v>-0.0002916383673436</v>
      </c>
      <c r="F574" s="13" t="n">
        <v>3.6</v>
      </c>
      <c r="G574" s="13">
        <f>D574+F574</f>
        <v/>
      </c>
      <c r="H574" s="13">
        <f>E574+F574</f>
        <v/>
      </c>
      <c r="I574" s="13">
        <f>ABS(D574-E574)</f>
        <v/>
      </c>
      <c r="J574" s="13">
        <f>(D574-E574)^2</f>
        <v/>
      </c>
      <c r="K574" s="14">
        <f>IF(ABS(G574)&lt;=1E-8,"",ABS((G574-H574)/G574))</f>
        <v/>
      </c>
    </row>
    <row r="575">
      <c r="A575" s="11" t="n">
        <v>45777</v>
      </c>
      <c r="B575" s="12" t="inlineStr">
        <is>
          <t>FR</t>
        </is>
      </c>
      <c r="C575" s="12" t="inlineStr">
        <is>
          <t>XGBoost</t>
        </is>
      </c>
      <c r="D575" s="13" t="n">
        <v>-0.0999999999999996</v>
      </c>
      <c r="E575" s="13" t="n">
        <v>-0.0122152576223015</v>
      </c>
      <c r="F575" s="13" t="n">
        <v>7.6</v>
      </c>
      <c r="G575" s="13">
        <f>D575+F575</f>
        <v/>
      </c>
      <c r="H575" s="13">
        <f>E575+F575</f>
        <v/>
      </c>
      <c r="I575" s="13">
        <f>ABS(D575-E575)</f>
        <v/>
      </c>
      <c r="J575" s="13">
        <f>(D575-E575)^2</f>
        <v/>
      </c>
      <c r="K575" s="14">
        <f>IF(ABS(G575)&lt;=1E-8,"",ABS((G575-H575)/G575))</f>
        <v/>
      </c>
    </row>
    <row r="576">
      <c r="A576" s="11" t="n">
        <v>45777</v>
      </c>
      <c r="B576" s="12" t="inlineStr">
        <is>
          <t>GB</t>
        </is>
      </c>
      <c r="C576" s="12" t="inlineStr">
        <is>
          <t>XGBoost</t>
        </is>
      </c>
      <c r="D576" s="13" t="n">
        <v>0.1000000000000005</v>
      </c>
      <c r="E576" s="13" t="n">
        <v>-0.0133754033595323</v>
      </c>
      <c r="F576" s="13" t="n">
        <v>4.6</v>
      </c>
      <c r="G576" s="13">
        <f>D576+F576</f>
        <v/>
      </c>
      <c r="H576" s="13">
        <f>E576+F576</f>
        <v/>
      </c>
      <c r="I576" s="13">
        <f>ABS(D576-E576)</f>
        <v/>
      </c>
      <c r="J576" s="13">
        <f>(D576-E576)^2</f>
        <v/>
      </c>
      <c r="K576" s="14">
        <f>IF(ABS(G576)&lt;=1E-8,"",ABS((G576-H576)/G576))</f>
        <v/>
      </c>
    </row>
    <row r="577">
      <c r="A577" s="11" t="n">
        <v>45777</v>
      </c>
      <c r="B577" s="12" t="inlineStr">
        <is>
          <t>IT</t>
        </is>
      </c>
      <c r="C577" s="12" t="inlineStr">
        <is>
          <t>XGBoost</t>
        </is>
      </c>
      <c r="D577" s="13" t="n">
        <v>-0.0999999999999996</v>
      </c>
      <c r="E577" s="13" t="n">
        <v>-0.0142285507172346</v>
      </c>
      <c r="F577" s="13" t="n">
        <v>6.3</v>
      </c>
      <c r="G577" s="13">
        <f>D577+F577</f>
        <v/>
      </c>
      <c r="H577" s="13">
        <f>E577+F577</f>
        <v/>
      </c>
      <c r="I577" s="13">
        <f>ABS(D577-E577)</f>
        <v/>
      </c>
      <c r="J577" s="13">
        <f>(D577-E577)^2</f>
        <v/>
      </c>
      <c r="K577" s="14">
        <f>IF(ABS(G577)&lt;=1E-8,"",ABS((G577-H577)/G577))</f>
        <v/>
      </c>
    </row>
    <row r="578">
      <c r="A578" s="11" t="n">
        <v>45777</v>
      </c>
      <c r="B578" s="12" t="inlineStr">
        <is>
          <t>JP</t>
        </is>
      </c>
      <c r="C578" s="12" t="inlineStr">
        <is>
          <t>XGBoost</t>
        </is>
      </c>
      <c r="D578" s="13" t="n">
        <v>0</v>
      </c>
      <c r="E578" s="13" t="n">
        <v>0.0134885255247354</v>
      </c>
      <c r="F578" s="13" t="n">
        <v>2.5</v>
      </c>
      <c r="G578" s="13">
        <f>D578+F578</f>
        <v/>
      </c>
      <c r="H578" s="13">
        <f>E578+F578</f>
        <v/>
      </c>
      <c r="I578" s="13">
        <f>ABS(D578-E578)</f>
        <v/>
      </c>
      <c r="J578" s="13">
        <f>(D578-E578)^2</f>
        <v/>
      </c>
      <c r="K578" s="14">
        <f>IF(ABS(G578)&lt;=1E-8,"",ABS((G578-H578)/G578))</f>
        <v/>
      </c>
    </row>
    <row r="579">
      <c r="A579" s="11" t="n">
        <v>45777</v>
      </c>
      <c r="B579" s="12" t="inlineStr">
        <is>
          <t>KR</t>
        </is>
      </c>
      <c r="C579" s="12" t="inlineStr">
        <is>
          <t>XGBoost</t>
        </is>
      </c>
      <c r="D579" s="13" t="n">
        <v>-0.0999999999999996</v>
      </c>
      <c r="E579" s="13" t="n">
        <v>0.025271588936448</v>
      </c>
      <c r="F579" s="13" t="n">
        <v>2.8</v>
      </c>
      <c r="G579" s="13">
        <f>D579+F579</f>
        <v/>
      </c>
      <c r="H579" s="13">
        <f>E579+F579</f>
        <v/>
      </c>
      <c r="I579" s="13">
        <f>ABS(D579-E579)</f>
        <v/>
      </c>
      <c r="J579" s="13">
        <f>(D579-E579)^2</f>
        <v/>
      </c>
      <c r="K579" s="14">
        <f>IF(ABS(G579)&lt;=1E-8,"",ABS((G579-H579)/G579))</f>
        <v/>
      </c>
    </row>
    <row r="580">
      <c r="A580" s="11" t="n">
        <v>45777</v>
      </c>
      <c r="B580" s="12" t="inlineStr">
        <is>
          <t>US</t>
        </is>
      </c>
      <c r="C580" s="12" t="inlineStr">
        <is>
          <t>XGBoost</t>
        </is>
      </c>
      <c r="D580" s="13" t="n">
        <v>0</v>
      </c>
      <c r="E580" s="13" t="n">
        <v>-0.0239235144108533</v>
      </c>
      <c r="F580" s="13" t="n">
        <v>4.2</v>
      </c>
      <c r="G580" s="13">
        <f>D580+F580</f>
        <v/>
      </c>
      <c r="H580" s="13">
        <f>E580+F580</f>
        <v/>
      </c>
      <c r="I580" s="13">
        <f>ABS(D580-E580)</f>
        <v/>
      </c>
      <c r="J580" s="13">
        <f>(D580-E580)^2</f>
        <v/>
      </c>
      <c r="K580" s="14">
        <f>IF(ABS(G580)&lt;=1E-8,"",ABS((G580-H580)/G580))</f>
        <v/>
      </c>
    </row>
    <row r="581">
      <c r="A581" s="11" t="n">
        <v>45808</v>
      </c>
      <c r="B581" s="12" t="inlineStr">
        <is>
          <t>AU</t>
        </is>
      </c>
      <c r="C581" s="12" t="inlineStr">
        <is>
          <t>XGBoost</t>
        </is>
      </c>
      <c r="D581" s="13" t="n">
        <v>0.0466550000000003</v>
      </c>
      <c r="E581" s="13" t="n">
        <v>-0.0411252528429031</v>
      </c>
      <c r="F581" s="13" t="n">
        <v>4.054703</v>
      </c>
      <c r="G581" s="13">
        <f>D581+F581</f>
        <v/>
      </c>
      <c r="H581" s="13">
        <f>E581+F581</f>
        <v/>
      </c>
      <c r="I581" s="13">
        <f>ABS(D581-E581)</f>
        <v/>
      </c>
      <c r="J581" s="13">
        <f>(D581-E581)^2</f>
        <v/>
      </c>
      <c r="K581" s="14">
        <f>IF(ABS(G581)&lt;=1E-8,"",ABS((G581-H581)/G581))</f>
        <v/>
      </c>
    </row>
    <row r="582">
      <c r="A582" s="11" t="n">
        <v>45808</v>
      </c>
      <c r="B582" s="12" t="inlineStr">
        <is>
          <t>CA</t>
        </is>
      </c>
      <c r="C582" s="12" t="inlineStr">
        <is>
          <t>XGBoost</t>
        </is>
      </c>
      <c r="D582" s="13" t="n">
        <v>0.0999999999999996</v>
      </c>
      <c r="E582" s="13" t="n">
        <v>-0.0419025532901287</v>
      </c>
      <c r="F582" s="13" t="n">
        <v>6.9</v>
      </c>
      <c r="G582" s="13">
        <f>D582+F582</f>
        <v/>
      </c>
      <c r="H582" s="13">
        <f>E582+F582</f>
        <v/>
      </c>
      <c r="I582" s="13">
        <f>ABS(D582-E582)</f>
        <v/>
      </c>
      <c r="J582" s="13">
        <f>(D582-E582)^2</f>
        <v/>
      </c>
      <c r="K582" s="14">
        <f>IF(ABS(G582)&lt;=1E-8,"",ABS((G582-H582)/G582))</f>
        <v/>
      </c>
    </row>
    <row r="583">
      <c r="A583" s="11" t="n">
        <v>45808</v>
      </c>
      <c r="B583" s="12" t="inlineStr">
        <is>
          <t>DE</t>
        </is>
      </c>
      <c r="C583" s="12" t="inlineStr">
        <is>
          <t>XGBoost</t>
        </is>
      </c>
      <c r="D583" s="13" t="n">
        <v>0</v>
      </c>
      <c r="E583" s="13" t="n">
        <v>-0.0384407490491867</v>
      </c>
      <c r="F583" s="13" t="n">
        <v>3.7</v>
      </c>
      <c r="G583" s="13">
        <f>D583+F583</f>
        <v/>
      </c>
      <c r="H583" s="13">
        <f>E583+F583</f>
        <v/>
      </c>
      <c r="I583" s="13">
        <f>ABS(D583-E583)</f>
        <v/>
      </c>
      <c r="J583" s="13">
        <f>(D583-E583)^2</f>
        <v/>
      </c>
      <c r="K583" s="14">
        <f>IF(ABS(G583)&lt;=1E-8,"",ABS((G583-H583)/G583))</f>
        <v/>
      </c>
    </row>
    <row r="584">
      <c r="A584" s="11" t="n">
        <v>45808</v>
      </c>
      <c r="B584" s="12" t="inlineStr">
        <is>
          <t>FR</t>
        </is>
      </c>
      <c r="C584" s="12" t="inlineStr">
        <is>
          <t>XGBoost</t>
        </is>
      </c>
      <c r="D584" s="13" t="n">
        <v>0.0999999999999996</v>
      </c>
      <c r="E584" s="13" t="n">
        <v>-0.0405363216996192</v>
      </c>
      <c r="F584" s="13" t="n">
        <v>7.5</v>
      </c>
      <c r="G584" s="13">
        <f>D584+F584</f>
        <v/>
      </c>
      <c r="H584" s="13">
        <f>E584+F584</f>
        <v/>
      </c>
      <c r="I584" s="13">
        <f>ABS(D584-E584)</f>
        <v/>
      </c>
      <c r="J584" s="13">
        <f>(D584-E584)^2</f>
        <v/>
      </c>
      <c r="K584" s="14">
        <f>IF(ABS(G584)&lt;=1E-8,"",ABS((G584-H584)/G584))</f>
        <v/>
      </c>
    </row>
    <row r="585">
      <c r="A585" s="11" t="n">
        <v>45808</v>
      </c>
      <c r="B585" s="12" t="inlineStr">
        <is>
          <t>GB</t>
        </is>
      </c>
      <c r="C585" s="12" t="inlineStr">
        <is>
          <t>XGBoost</t>
        </is>
      </c>
      <c r="D585" s="13" t="n">
        <v>0</v>
      </c>
      <c r="E585" s="13" t="n">
        <v>-0.0382328703999519</v>
      </c>
      <c r="F585" s="13" t="n">
        <v>4.7</v>
      </c>
      <c r="G585" s="13">
        <f>D585+F585</f>
        <v/>
      </c>
      <c r="H585" s="13">
        <f>E585+F585</f>
        <v/>
      </c>
      <c r="I585" s="13">
        <f>ABS(D585-E585)</f>
        <v/>
      </c>
      <c r="J585" s="13">
        <f>(D585-E585)^2</f>
        <v/>
      </c>
      <c r="K585" s="14">
        <f>IF(ABS(G585)&lt;=1E-8,"",ABS((G585-H585)/G585))</f>
        <v/>
      </c>
    </row>
    <row r="586">
      <c r="A586" s="11" t="n">
        <v>45808</v>
      </c>
      <c r="B586" s="12" t="inlineStr">
        <is>
          <t>IT</t>
        </is>
      </c>
      <c r="C586" s="12" t="inlineStr">
        <is>
          <t>XGBoost</t>
        </is>
      </c>
      <c r="D586" s="13" t="n">
        <v>0.2000000000000001</v>
      </c>
      <c r="E586" s="13" t="n">
        <v>-0.0384239070117473</v>
      </c>
      <c r="F586" s="13" t="n">
        <v>6.2</v>
      </c>
      <c r="G586" s="13">
        <f>D586+F586</f>
        <v/>
      </c>
      <c r="H586" s="13">
        <f>E586+F586</f>
        <v/>
      </c>
      <c r="I586" s="13">
        <f>ABS(D586-E586)</f>
        <v/>
      </c>
      <c r="J586" s="13">
        <f>(D586-E586)^2</f>
        <v/>
      </c>
      <c r="K586" s="14">
        <f>IF(ABS(G586)&lt;=1E-8,"",ABS((G586-H586)/G586))</f>
        <v/>
      </c>
    </row>
    <row r="587">
      <c r="A587" s="11" t="n">
        <v>45808</v>
      </c>
      <c r="B587" s="12" t="inlineStr">
        <is>
          <t>JP</t>
        </is>
      </c>
      <c r="C587" s="12" t="inlineStr">
        <is>
          <t>XGBoost</t>
        </is>
      </c>
      <c r="D587" s="13" t="n">
        <v>0</v>
      </c>
      <c r="E587" s="13" t="n">
        <v>-0.0380389839410781</v>
      </c>
      <c r="F587" s="13" t="n">
        <v>2.5</v>
      </c>
      <c r="G587" s="13">
        <f>D587+F587</f>
        <v/>
      </c>
      <c r="H587" s="13">
        <f>E587+F587</f>
        <v/>
      </c>
      <c r="I587" s="13">
        <f>ABS(D587-E587)</f>
        <v/>
      </c>
      <c r="J587" s="13">
        <f>(D587-E587)^2</f>
        <v/>
      </c>
      <c r="K587" s="14">
        <f>IF(ABS(G587)&lt;=1E-8,"",ABS((G587-H587)/G587))</f>
        <v/>
      </c>
    </row>
    <row r="588">
      <c r="A588" s="11" t="n">
        <v>45808</v>
      </c>
      <c r="B588" s="12" t="inlineStr">
        <is>
          <t>KR</t>
        </is>
      </c>
      <c r="C588" s="12" t="inlineStr">
        <is>
          <t>XGBoost</t>
        </is>
      </c>
      <c r="D588" s="13" t="n">
        <v>0</v>
      </c>
      <c r="E588" s="13" t="n">
        <v>-0.0413678251206874</v>
      </c>
      <c r="F588" s="13" t="n">
        <v>2.7</v>
      </c>
      <c r="G588" s="13">
        <f>D588+F588</f>
        <v/>
      </c>
      <c r="H588" s="13">
        <f>E588+F588</f>
        <v/>
      </c>
      <c r="I588" s="13">
        <f>ABS(D588-E588)</f>
        <v/>
      </c>
      <c r="J588" s="13">
        <f>(D588-E588)^2</f>
        <v/>
      </c>
      <c r="K588" s="14">
        <f>IF(ABS(G588)&lt;=1E-8,"",ABS((G588-H588)/G588))</f>
        <v/>
      </c>
    </row>
    <row r="589">
      <c r="A589" s="11" t="n">
        <v>45808</v>
      </c>
      <c r="B589" s="12" t="inlineStr">
        <is>
          <t>US</t>
        </is>
      </c>
      <c r="C589" s="12" t="inlineStr">
        <is>
          <t>XGBoost</t>
        </is>
      </c>
      <c r="D589" s="13" t="n">
        <v>0.0999999999999996</v>
      </c>
      <c r="E589" s="13" t="n">
        <v>-0.0409453473985195</v>
      </c>
      <c r="F589" s="13" t="n">
        <v>4.2</v>
      </c>
      <c r="G589" s="13">
        <f>D589+F589</f>
        <v/>
      </c>
      <c r="H589" s="13">
        <f>E589+F589</f>
        <v/>
      </c>
      <c r="I589" s="13">
        <f>ABS(D589-E589)</f>
        <v/>
      </c>
      <c r="J589" s="13">
        <f>(D589-E589)^2</f>
        <v/>
      </c>
      <c r="K589" s="14">
        <f>IF(ABS(G589)&lt;=1E-8,"",ABS((G589-H589)/G589))</f>
        <v/>
      </c>
    </row>
    <row r="590">
      <c r="A590" s="11" t="n">
        <v>45838</v>
      </c>
      <c r="B590" s="12" t="inlineStr">
        <is>
          <t>AU</t>
        </is>
      </c>
      <c r="C590" s="12" t="inlineStr">
        <is>
          <t>XGBoost</t>
        </is>
      </c>
      <c r="D590" s="13" t="n">
        <v>0.2165059999999998</v>
      </c>
      <c r="E590" s="13" t="n">
        <v>-0.0425757654011249</v>
      </c>
      <c r="F590" s="13" t="n">
        <v>4.101358</v>
      </c>
      <c r="G590" s="13">
        <f>D590+F590</f>
        <v/>
      </c>
      <c r="H590" s="13">
        <f>E590+F590</f>
        <v/>
      </c>
      <c r="I590" s="13">
        <f>ABS(D590-E590)</f>
        <v/>
      </c>
      <c r="J590" s="13">
        <f>(D590-E590)^2</f>
        <v/>
      </c>
      <c r="K590" s="14">
        <f>IF(ABS(G590)&lt;=1E-8,"",ABS((G590-H590)/G590))</f>
        <v/>
      </c>
    </row>
    <row r="591">
      <c r="A591" s="11" t="n">
        <v>45838</v>
      </c>
      <c r="B591" s="12" t="inlineStr">
        <is>
          <t>CA</t>
        </is>
      </c>
      <c r="C591" s="12" t="inlineStr">
        <is>
          <t>XGBoost</t>
        </is>
      </c>
      <c r="D591" s="13" t="n">
        <v>-0.0999999999999996</v>
      </c>
      <c r="E591" s="13" t="n">
        <v>-0.0398491621017456</v>
      </c>
      <c r="F591" s="13" t="n">
        <v>7</v>
      </c>
      <c r="G591" s="13">
        <f>D591+F591</f>
        <v/>
      </c>
      <c r="H591" s="13">
        <f>E591+F591</f>
        <v/>
      </c>
      <c r="I591" s="13">
        <f>ABS(D591-E591)</f>
        <v/>
      </c>
      <c r="J591" s="13">
        <f>(D591-E591)^2</f>
        <v/>
      </c>
      <c r="K591" s="14">
        <f>IF(ABS(G591)&lt;=1E-8,"",ABS((G591-H591)/G591))</f>
        <v/>
      </c>
    </row>
    <row r="592">
      <c r="A592" s="11" t="n">
        <v>45838</v>
      </c>
      <c r="B592" s="12" t="inlineStr">
        <is>
          <t>DE</t>
        </is>
      </c>
      <c r="C592" s="12" t="inlineStr">
        <is>
          <t>XGBoost</t>
        </is>
      </c>
      <c r="D592" s="13" t="n">
        <v>0</v>
      </c>
      <c r="E592" s="13" t="n">
        <v>-0.0394473075866699</v>
      </c>
      <c r="F592" s="13" t="n">
        <v>3.7</v>
      </c>
      <c r="G592" s="13">
        <f>D592+F592</f>
        <v/>
      </c>
      <c r="H592" s="13">
        <f>E592+F592</f>
        <v/>
      </c>
      <c r="I592" s="13">
        <f>ABS(D592-E592)</f>
        <v/>
      </c>
      <c r="J592" s="13">
        <f>(D592-E592)^2</f>
        <v/>
      </c>
      <c r="K592" s="14">
        <f>IF(ABS(G592)&lt;=1E-8,"",ABS((G592-H592)/G592))</f>
        <v/>
      </c>
    </row>
    <row r="593">
      <c r="A593" s="11" t="n">
        <v>45838</v>
      </c>
      <c r="B593" s="12" t="inlineStr">
        <is>
          <t>FR</t>
        </is>
      </c>
      <c r="C593" s="12" t="inlineStr">
        <is>
          <t>XGBoost</t>
        </is>
      </c>
      <c r="D593" s="13" t="n">
        <v>0.1000000000000005</v>
      </c>
      <c r="E593" s="13" t="n">
        <v>-0.039606899023056</v>
      </c>
      <c r="F593" s="13" t="n">
        <v>7.6</v>
      </c>
      <c r="G593" s="13">
        <f>D593+F593</f>
        <v/>
      </c>
      <c r="H593" s="13">
        <f>E593+F593</f>
        <v/>
      </c>
      <c r="I593" s="13">
        <f>ABS(D593-E593)</f>
        <v/>
      </c>
      <c r="J593" s="13">
        <f>(D593-E593)^2</f>
        <v/>
      </c>
      <c r="K593" s="14">
        <f>IF(ABS(G593)&lt;=1E-8,"",ABS((G593-H593)/G593))</f>
        <v/>
      </c>
    </row>
    <row r="594">
      <c r="A594" s="11" t="n">
        <v>45838</v>
      </c>
      <c r="B594" s="12" t="inlineStr">
        <is>
          <t>GB</t>
        </is>
      </c>
      <c r="C594" s="12" t="inlineStr">
        <is>
          <t>XGBoost</t>
        </is>
      </c>
      <c r="D594" s="13" t="n">
        <v>0</v>
      </c>
      <c r="E594" s="13" t="n">
        <v>-0.038487434387207</v>
      </c>
      <c r="F594" s="13" t="n">
        <v>4.7</v>
      </c>
      <c r="G594" s="13">
        <f>D594+F594</f>
        <v/>
      </c>
      <c r="H594" s="13">
        <f>E594+F594</f>
        <v/>
      </c>
      <c r="I594" s="13">
        <f>ABS(D594-E594)</f>
        <v/>
      </c>
      <c r="J594" s="13">
        <f>(D594-E594)^2</f>
        <v/>
      </c>
      <c r="K594" s="14">
        <f>IF(ABS(G594)&lt;=1E-8,"",ABS((G594-H594)/G594))</f>
        <v/>
      </c>
    </row>
    <row r="595">
      <c r="A595" s="11" t="n">
        <v>45838</v>
      </c>
      <c r="B595" s="12" t="inlineStr">
        <is>
          <t>IT</t>
        </is>
      </c>
      <c r="C595" s="12" t="inlineStr">
        <is>
          <t>XGBoost</t>
        </is>
      </c>
      <c r="D595" s="13" t="n">
        <v>-0.5</v>
      </c>
      <c r="E595" s="13" t="n">
        <v>-0.038487434387207</v>
      </c>
      <c r="F595" s="13" t="n">
        <v>6.4</v>
      </c>
      <c r="G595" s="13">
        <f>D595+F595</f>
        <v/>
      </c>
      <c r="H595" s="13">
        <f>E595+F595</f>
        <v/>
      </c>
      <c r="I595" s="13">
        <f>ABS(D595-E595)</f>
        <v/>
      </c>
      <c r="J595" s="13">
        <f>(D595-E595)^2</f>
        <v/>
      </c>
      <c r="K595" s="14">
        <f>IF(ABS(G595)&lt;=1E-8,"",ABS((G595-H595)/G595))</f>
        <v/>
      </c>
    </row>
    <row r="596">
      <c r="A596" s="11" t="n">
        <v>45838</v>
      </c>
      <c r="B596" s="12" t="inlineStr">
        <is>
          <t>JP</t>
        </is>
      </c>
      <c r="C596" s="12" t="inlineStr">
        <is>
          <t>XGBoost</t>
        </is>
      </c>
      <c r="D596" s="13" t="n">
        <v>0</v>
      </c>
      <c r="E596" s="13" t="n">
        <v>-0.038487434387207</v>
      </c>
      <c r="F596" s="13" t="n">
        <v>2.5</v>
      </c>
      <c r="G596" s="13">
        <f>D596+F596</f>
        <v/>
      </c>
      <c r="H596" s="13">
        <f>E596+F596</f>
        <v/>
      </c>
      <c r="I596" s="13">
        <f>ABS(D596-E596)</f>
        <v/>
      </c>
      <c r="J596" s="13">
        <f>(D596-E596)^2</f>
        <v/>
      </c>
      <c r="K596" s="14">
        <f>IF(ABS(G596)&lt;=1E-8,"",ABS((G596-H596)/G596))</f>
        <v/>
      </c>
    </row>
    <row r="597">
      <c r="A597" s="11" t="n">
        <v>45838</v>
      </c>
      <c r="B597" s="12" t="inlineStr">
        <is>
          <t>KR</t>
        </is>
      </c>
      <c r="C597" s="12" t="inlineStr">
        <is>
          <t>XGBoost</t>
        </is>
      </c>
      <c r="D597" s="13" t="n">
        <v>0</v>
      </c>
      <c r="E597" s="13" t="n">
        <v>-0.0399574972689151</v>
      </c>
      <c r="F597" s="13" t="n">
        <v>2.7</v>
      </c>
      <c r="G597" s="13">
        <f>D597+F597</f>
        <v/>
      </c>
      <c r="H597" s="13">
        <f>E597+F597</f>
        <v/>
      </c>
      <c r="I597" s="13">
        <f>ABS(D597-E597)</f>
        <v/>
      </c>
      <c r="J597" s="13">
        <f>(D597-E597)^2</f>
        <v/>
      </c>
      <c r="K597" s="14">
        <f>IF(ABS(G597)&lt;=1E-8,"",ABS((G597-H597)/G597))</f>
        <v/>
      </c>
    </row>
    <row r="598">
      <c r="A598" s="11" t="n">
        <v>45838</v>
      </c>
      <c r="B598" s="12" t="inlineStr">
        <is>
          <t>US</t>
        </is>
      </c>
      <c r="C598" s="12" t="inlineStr">
        <is>
          <t>XGBoost</t>
        </is>
      </c>
      <c r="D598" s="13" t="n">
        <v>-0.2000000000000001</v>
      </c>
      <c r="E598" s="13" t="n">
        <v>-0.0389513038098812</v>
      </c>
      <c r="F598" s="13" t="n">
        <v>4.3</v>
      </c>
      <c r="G598" s="13">
        <f>D598+F598</f>
        <v/>
      </c>
      <c r="H598" s="13">
        <f>E598+F598</f>
        <v/>
      </c>
      <c r="I598" s="13">
        <f>ABS(D598-E598)</f>
        <v/>
      </c>
      <c r="J598" s="13">
        <f>(D598-E598)^2</f>
        <v/>
      </c>
      <c r="K598" s="14">
        <f>IF(ABS(G598)&lt;=1E-8,"",ABS((G598-H598)/G598))</f>
        <v/>
      </c>
    </row>
    <row r="599">
      <c r="A599" s="11" t="n">
        <v>45869</v>
      </c>
      <c r="B599" s="12" t="inlineStr">
        <is>
          <t>AU</t>
        </is>
      </c>
      <c r="C599" s="12" t="inlineStr">
        <is>
          <t>XGBoost</t>
        </is>
      </c>
      <c r="D599" s="13" t="n">
        <v>-0.08211999999999969</v>
      </c>
      <c r="E599" s="13" t="n">
        <v>-0.0381849482655525</v>
      </c>
      <c r="F599" s="13" t="n">
        <v>4.317864</v>
      </c>
      <c r="G599" s="13">
        <f>D599+F599</f>
        <v/>
      </c>
      <c r="H599" s="13">
        <f>E599+F599</f>
        <v/>
      </c>
      <c r="I599" s="13">
        <f>ABS(D599-E599)</f>
        <v/>
      </c>
      <c r="J599" s="13">
        <f>(D599-E599)^2</f>
        <v/>
      </c>
      <c r="K599" s="14">
        <f>IF(ABS(G599)&lt;=1E-8,"",ABS((G599-H599)/G599))</f>
        <v/>
      </c>
    </row>
    <row r="600">
      <c r="A600" s="11" t="n">
        <v>45869</v>
      </c>
      <c r="B600" s="12" t="inlineStr">
        <is>
          <t>CA</t>
        </is>
      </c>
      <c r="C600" s="12" t="inlineStr">
        <is>
          <t>XGBoost</t>
        </is>
      </c>
      <c r="D600" s="13" t="n">
        <v>0</v>
      </c>
      <c r="E600" s="13" t="n">
        <v>-0.0381491631269454</v>
      </c>
      <c r="F600" s="13" t="n">
        <v>6.9</v>
      </c>
      <c r="G600" s="13">
        <f>D600+F600</f>
        <v/>
      </c>
      <c r="H600" s="13">
        <f>E600+F600</f>
        <v/>
      </c>
      <c r="I600" s="13">
        <f>ABS(D600-E600)</f>
        <v/>
      </c>
      <c r="J600" s="13">
        <f>(D600-E600)^2</f>
        <v/>
      </c>
      <c r="K600" s="14">
        <f>IF(ABS(G600)&lt;=1E-8,"",ABS((G600-H600)/G600))</f>
        <v/>
      </c>
    </row>
    <row r="601">
      <c r="A601" s="11" t="n">
        <v>45869</v>
      </c>
      <c r="B601" s="12" t="inlineStr">
        <is>
          <t>DE</t>
        </is>
      </c>
      <c r="C601" s="12" t="inlineStr">
        <is>
          <t>XGBoost</t>
        </is>
      </c>
      <c r="D601" s="13" t="n">
        <v>0.0999999999999996</v>
      </c>
      <c r="E601" s="13" t="n">
        <v>-0.0378247089684009</v>
      </c>
      <c r="F601" s="13" t="n">
        <v>3.7</v>
      </c>
      <c r="G601" s="13">
        <f>D601+F601</f>
        <v/>
      </c>
      <c r="H601" s="13">
        <f>E601+F601</f>
        <v/>
      </c>
      <c r="I601" s="13">
        <f>ABS(D601-E601)</f>
        <v/>
      </c>
      <c r="J601" s="13">
        <f>(D601-E601)^2</f>
        <v/>
      </c>
      <c r="K601" s="14">
        <f>IF(ABS(G601)&lt;=1E-8,"",ABS((G601-H601)/G601))</f>
        <v/>
      </c>
    </row>
    <row r="602">
      <c r="A602" s="11" t="n">
        <v>45869</v>
      </c>
      <c r="B602" s="12" t="inlineStr">
        <is>
          <t>FR</t>
        </is>
      </c>
      <c r="C602" s="12" t="inlineStr">
        <is>
          <t>XGBoost</t>
        </is>
      </c>
      <c r="D602" s="13" t="n">
        <v>0</v>
      </c>
      <c r="E602" s="13" t="n">
        <v>-0.0383429825305938</v>
      </c>
      <c r="F602" s="13" t="n">
        <v>7.7</v>
      </c>
      <c r="G602" s="13">
        <f>D602+F602</f>
        <v/>
      </c>
      <c r="H602" s="13">
        <f>E602+F602</f>
        <v/>
      </c>
      <c r="I602" s="13">
        <f>ABS(D602-E602)</f>
        <v/>
      </c>
      <c r="J602" s="13">
        <f>(D602-E602)^2</f>
        <v/>
      </c>
      <c r="K602" s="14">
        <f>IF(ABS(G602)&lt;=1E-8,"",ABS((G602-H602)/G602))</f>
        <v/>
      </c>
    </row>
    <row r="603">
      <c r="A603" s="11" t="n">
        <v>45869</v>
      </c>
      <c r="B603" s="12" t="inlineStr">
        <is>
          <t>GB</t>
        </is>
      </c>
      <c r="C603" s="12" t="inlineStr">
        <is>
          <t>XGBoost</t>
        </is>
      </c>
      <c r="D603" s="13" t="n">
        <v>0.0999999999999996</v>
      </c>
      <c r="E603" s="13" t="n">
        <v>-0.0381491631269454</v>
      </c>
      <c r="F603" s="13" t="n">
        <v>4.7</v>
      </c>
      <c r="G603" s="13">
        <f>D603+F603</f>
        <v/>
      </c>
      <c r="H603" s="13">
        <f>E603+F603</f>
        <v/>
      </c>
      <c r="I603" s="13">
        <f>ABS(D603-E603)</f>
        <v/>
      </c>
      <c r="J603" s="13">
        <f>(D603-E603)^2</f>
        <v/>
      </c>
      <c r="K603" s="14">
        <f>IF(ABS(G603)&lt;=1E-8,"",ABS((G603-H603)/G603))</f>
        <v/>
      </c>
    </row>
    <row r="604">
      <c r="A604" s="11" t="n">
        <v>45869</v>
      </c>
      <c r="B604" s="12" t="inlineStr">
        <is>
          <t>IT</t>
        </is>
      </c>
      <c r="C604" s="12" t="inlineStr">
        <is>
          <t>XGBoost</t>
        </is>
      </c>
      <c r="D604" s="13" t="n">
        <v>0.0999999999999996</v>
      </c>
      <c r="E604" s="13" t="n">
        <v>-0.0381491631269454</v>
      </c>
      <c r="F604" s="13" t="n">
        <v>5.9</v>
      </c>
      <c r="G604" s="13">
        <f>D604+F604</f>
        <v/>
      </c>
      <c r="H604" s="13">
        <f>E604+F604</f>
        <v/>
      </c>
      <c r="I604" s="13">
        <f>ABS(D604-E604)</f>
        <v/>
      </c>
      <c r="J604" s="13">
        <f>(D604-E604)^2</f>
        <v/>
      </c>
      <c r="K604" s="14">
        <f>IF(ABS(G604)&lt;=1E-8,"",ABS((G604-H604)/G604))</f>
        <v/>
      </c>
    </row>
    <row r="605">
      <c r="A605" s="11" t="n">
        <v>45869</v>
      </c>
      <c r="B605" s="12" t="inlineStr">
        <is>
          <t>JP</t>
        </is>
      </c>
      <c r="C605" s="12" t="inlineStr">
        <is>
          <t>XGBoost</t>
        </is>
      </c>
      <c r="D605" s="13" t="n">
        <v>-0.1</v>
      </c>
      <c r="E605" s="13" t="n">
        <v>-0.0381491631269454</v>
      </c>
      <c r="F605" s="13" t="n">
        <v>2.5</v>
      </c>
      <c r="G605" s="13">
        <f>D605+F605</f>
        <v/>
      </c>
      <c r="H605" s="13">
        <f>E605+F605</f>
        <v/>
      </c>
      <c r="I605" s="13">
        <f>ABS(D605-E605)</f>
        <v/>
      </c>
      <c r="J605" s="13">
        <f>(D605-E605)^2</f>
        <v/>
      </c>
      <c r="K605" s="14">
        <f>IF(ABS(G605)&lt;=1E-8,"",ABS((G605-H605)/G605))</f>
        <v/>
      </c>
    </row>
    <row r="606">
      <c r="A606" s="11" t="n">
        <v>45869</v>
      </c>
      <c r="B606" s="12" t="inlineStr">
        <is>
          <t>KR</t>
        </is>
      </c>
      <c r="C606" s="12" t="inlineStr">
        <is>
          <t>XGBoost</t>
        </is>
      </c>
      <c r="D606" s="13" t="n">
        <v>0</v>
      </c>
      <c r="E606" s="13" t="n">
        <v>-0.0384248346090316</v>
      </c>
      <c r="F606" s="13" t="n">
        <v>2.7</v>
      </c>
      <c r="G606" s="13">
        <f>D606+F606</f>
        <v/>
      </c>
      <c r="H606" s="13">
        <f>E606+F606</f>
        <v/>
      </c>
      <c r="I606" s="13">
        <f>ABS(D606-E606)</f>
        <v/>
      </c>
      <c r="J606" s="13">
        <f>(D606-E606)^2</f>
        <v/>
      </c>
      <c r="K606" s="14">
        <f>IF(ABS(G606)&lt;=1E-8,"",ABS((G606-H606)/G606))</f>
        <v/>
      </c>
    </row>
    <row r="607">
      <c r="A607" s="11" t="n">
        <v>45869</v>
      </c>
      <c r="B607" s="12" t="inlineStr">
        <is>
          <t>US</t>
        </is>
      </c>
      <c r="C607" s="12" t="inlineStr">
        <is>
          <t>XGBoost</t>
        </is>
      </c>
      <c r="D607" s="13" t="n">
        <v>0.2000000000000001</v>
      </c>
      <c r="E607" s="13" t="n">
        <v>-0.0381849482655525</v>
      </c>
      <c r="F607" s="13" t="n">
        <v>4.1</v>
      </c>
      <c r="G607" s="13">
        <f>D607+F607</f>
        <v/>
      </c>
      <c r="H607" s="13">
        <f>E607+F607</f>
        <v/>
      </c>
      <c r="I607" s="13">
        <f>ABS(D607-E607)</f>
        <v/>
      </c>
      <c r="J607" s="13">
        <f>(D607-E607)^2</f>
        <v/>
      </c>
      <c r="K607" s="14">
        <f>IF(ABS(G607)&lt;=1E-8,"",ABS((G607-H607)/G607))</f>
        <v/>
      </c>
    </row>
    <row r="608">
      <c r="A608" s="11" t="n">
        <v>45900</v>
      </c>
      <c r="B608" s="12" t="inlineStr">
        <is>
          <t>AU</t>
        </is>
      </c>
      <c r="C608" s="12" t="inlineStr">
        <is>
          <t>XGBoost</t>
        </is>
      </c>
      <c r="D608" s="13" t="n">
        <v>0.008958999999999899</v>
      </c>
      <c r="E608" s="13" t="n">
        <v>-0.0370342954993248</v>
      </c>
      <c r="F608" s="13" t="n">
        <v>4.235744</v>
      </c>
      <c r="G608" s="13">
        <f>D608+F608</f>
        <v/>
      </c>
      <c r="H608" s="13">
        <f>E608+F608</f>
        <v/>
      </c>
      <c r="I608" s="13">
        <f>ABS(D608-E608)</f>
        <v/>
      </c>
      <c r="J608" s="13">
        <f>(D608-E608)^2</f>
        <v/>
      </c>
      <c r="K608" s="14">
        <f>IF(ABS(G608)&lt;=1E-8,"",ABS((G608-H608)/G608))</f>
        <v/>
      </c>
    </row>
    <row r="609">
      <c r="A609" s="11" t="n">
        <v>45900</v>
      </c>
      <c r="B609" s="12" t="inlineStr">
        <is>
          <t>CA</t>
        </is>
      </c>
      <c r="C609" s="12" t="inlineStr">
        <is>
          <t>XGBoost</t>
        </is>
      </c>
      <c r="D609" s="13" t="n">
        <v>0.1999999999999993</v>
      </c>
      <c r="E609" s="13" t="n">
        <v>-0.0370342954993248</v>
      </c>
      <c r="F609" s="13" t="n">
        <v>6.9</v>
      </c>
      <c r="G609" s="13">
        <f>D609+F609</f>
        <v/>
      </c>
      <c r="H609" s="13">
        <f>E609+F609</f>
        <v/>
      </c>
      <c r="I609" s="13">
        <f>ABS(D609-E609)</f>
        <v/>
      </c>
      <c r="J609" s="13">
        <f>(D609-E609)^2</f>
        <v/>
      </c>
      <c r="K609" s="14">
        <f>IF(ABS(G609)&lt;=1E-8,"",ABS((G609-H609)/G609))</f>
        <v/>
      </c>
    </row>
    <row r="610">
      <c r="A610" s="11" t="n">
        <v>45900</v>
      </c>
      <c r="B610" s="12" t="inlineStr">
        <is>
          <t>DE</t>
        </is>
      </c>
      <c r="C610" s="12" t="inlineStr">
        <is>
          <t>XGBoost</t>
        </is>
      </c>
      <c r="D610" s="13" t="n">
        <v>0</v>
      </c>
      <c r="E610" s="13" t="n">
        <v>-0.0370342954993248</v>
      </c>
      <c r="F610" s="13" t="n">
        <v>3.8</v>
      </c>
      <c r="G610" s="13">
        <f>D610+F610</f>
        <v/>
      </c>
      <c r="H610" s="13">
        <f>E610+F610</f>
        <v/>
      </c>
      <c r="I610" s="13">
        <f>ABS(D610-E610)</f>
        <v/>
      </c>
      <c r="J610" s="13">
        <f>(D610-E610)^2</f>
        <v/>
      </c>
      <c r="K610" s="14">
        <f>IF(ABS(G610)&lt;=1E-8,"",ABS((G610-H610)/G610))</f>
        <v/>
      </c>
    </row>
    <row r="611">
      <c r="A611" s="11" t="n">
        <v>45900</v>
      </c>
      <c r="B611" s="12" t="inlineStr">
        <is>
          <t>FR</t>
        </is>
      </c>
      <c r="C611" s="12" t="inlineStr">
        <is>
          <t>XGBoost</t>
        </is>
      </c>
      <c r="D611" s="13" t="n">
        <v>0.0999999999999996</v>
      </c>
      <c r="E611" s="13" t="n">
        <v>-0.0370342954993248</v>
      </c>
      <c r="F611" s="13" t="n">
        <v>7.7</v>
      </c>
      <c r="G611" s="13">
        <f>D611+F611</f>
        <v/>
      </c>
      <c r="H611" s="13">
        <f>E611+F611</f>
        <v/>
      </c>
      <c r="I611" s="13">
        <f>ABS(D611-E611)</f>
        <v/>
      </c>
      <c r="J611" s="13">
        <f>(D611-E611)^2</f>
        <v/>
      </c>
      <c r="K611" s="14">
        <f>IF(ABS(G611)&lt;=1E-8,"",ABS((G611-H611)/G611))</f>
        <v/>
      </c>
    </row>
    <row r="612">
      <c r="A612" s="11" t="n">
        <v>45900</v>
      </c>
      <c r="B612" s="12" t="inlineStr">
        <is>
          <t>GB</t>
        </is>
      </c>
      <c r="C612" s="12" t="inlineStr">
        <is>
          <t>XGBoost</t>
        </is>
      </c>
      <c r="D612" s="13" t="n">
        <v>0.2000000000000001</v>
      </c>
      <c r="E612" s="13" t="n">
        <v>-0.0370342954993248</v>
      </c>
      <c r="F612" s="13" t="n">
        <v>4.8</v>
      </c>
      <c r="G612" s="13">
        <f>D612+F612</f>
        <v/>
      </c>
      <c r="H612" s="13">
        <f>E612+F612</f>
        <v/>
      </c>
      <c r="I612" s="13">
        <f>ABS(D612-E612)</f>
        <v/>
      </c>
      <c r="J612" s="13">
        <f>(D612-E612)^2</f>
        <v/>
      </c>
      <c r="K612" s="14">
        <f>IF(ABS(G612)&lt;=1E-8,"",ABS((G612-H612)/G612))</f>
        <v/>
      </c>
    </row>
    <row r="613">
      <c r="A613" s="11" t="n">
        <v>45900</v>
      </c>
      <c r="B613" s="12" t="inlineStr">
        <is>
          <t>IT</t>
        </is>
      </c>
      <c r="C613" s="12" t="inlineStr">
        <is>
          <t>XGBoost</t>
        </is>
      </c>
      <c r="D613" s="13" t="n">
        <v>0</v>
      </c>
      <c r="E613" s="13" t="n">
        <v>-0.0370342954993248</v>
      </c>
      <c r="F613" s="13" t="n">
        <v>6</v>
      </c>
      <c r="G613" s="13">
        <f>D613+F613</f>
        <v/>
      </c>
      <c r="H613" s="13">
        <f>E613+F613</f>
        <v/>
      </c>
      <c r="I613" s="13">
        <f>ABS(D613-E613)</f>
        <v/>
      </c>
      <c r="J613" s="13">
        <f>(D613-E613)^2</f>
        <v/>
      </c>
      <c r="K613" s="14">
        <f>IF(ABS(G613)&lt;=1E-8,"",ABS((G613-H613)/G613))</f>
        <v/>
      </c>
    </row>
    <row r="614">
      <c r="A614" s="11" t="n">
        <v>45900</v>
      </c>
      <c r="B614" s="12" t="inlineStr">
        <is>
          <t>JP</t>
        </is>
      </c>
      <c r="C614" s="12" t="inlineStr">
        <is>
          <t>XGBoost</t>
        </is>
      </c>
      <c r="D614" s="13" t="n">
        <v>0.2000000000000001</v>
      </c>
      <c r="E614" s="13" t="n">
        <v>-0.0370342954993248</v>
      </c>
      <c r="F614" s="13" t="n">
        <v>2.4</v>
      </c>
      <c r="G614" s="13">
        <f>D614+F614</f>
        <v/>
      </c>
      <c r="H614" s="13">
        <f>E614+F614</f>
        <v/>
      </c>
      <c r="I614" s="13">
        <f>ABS(D614-E614)</f>
        <v/>
      </c>
      <c r="J614" s="13">
        <f>(D614-E614)^2</f>
        <v/>
      </c>
      <c r="K614" s="14">
        <f>IF(ABS(G614)&lt;=1E-8,"",ABS((G614-H614)/G614))</f>
        <v/>
      </c>
    </row>
    <row r="615">
      <c r="A615" s="11" t="n">
        <v>45900</v>
      </c>
      <c r="B615" s="12" t="inlineStr">
        <is>
          <t>KR</t>
        </is>
      </c>
      <c r="C615" s="12" t="inlineStr">
        <is>
          <t>XGBoost</t>
        </is>
      </c>
      <c r="D615" s="13" t="n">
        <v>0.0999999999999996</v>
      </c>
      <c r="E615" s="13" t="n">
        <v>-0.0370342954993248</v>
      </c>
      <c r="F615" s="13" t="n">
        <v>2.7</v>
      </c>
      <c r="G615" s="13">
        <f>D615+F615</f>
        <v/>
      </c>
      <c r="H615" s="13">
        <f>E615+F615</f>
        <v/>
      </c>
      <c r="I615" s="13">
        <f>ABS(D615-E615)</f>
        <v/>
      </c>
      <c r="J615" s="13">
        <f>(D615-E615)^2</f>
        <v/>
      </c>
      <c r="K615" s="14">
        <f>IF(ABS(G615)&lt;=1E-8,"",ABS((G615-H615)/G615))</f>
        <v/>
      </c>
    </row>
    <row r="616">
      <c r="A616" s="11" t="n">
        <v>45900</v>
      </c>
      <c r="B616" s="12" t="inlineStr">
        <is>
          <t>US</t>
        </is>
      </c>
      <c r="C616" s="12" t="inlineStr">
        <is>
          <t>XGBoost</t>
        </is>
      </c>
      <c r="D616" s="13" t="n">
        <v>0</v>
      </c>
      <c r="E616" s="13" t="n">
        <v>-0.0370342954993248</v>
      </c>
      <c r="F616" s="13" t="n">
        <v>4.3</v>
      </c>
      <c r="G616" s="13">
        <f>D616+F616</f>
        <v/>
      </c>
      <c r="H616" s="13">
        <f>E616+F616</f>
        <v/>
      </c>
      <c r="I616" s="13">
        <f>ABS(D616-E616)</f>
        <v/>
      </c>
      <c r="J616" s="13">
        <f>(D616-E616)^2</f>
        <v/>
      </c>
      <c r="K616" s="14">
        <f>IF(ABS(G616)&lt;=1E-8,"",ABS((G616-H616)/G616))</f>
        <v/>
      </c>
    </row>
    <row r="617">
      <c r="A617" s="11" t="n">
        <v>45930</v>
      </c>
      <c r="B617" s="12" t="inlineStr">
        <is>
          <t>AU</t>
        </is>
      </c>
      <c r="C617" s="12" t="inlineStr">
        <is>
          <t>XGBoost</t>
        </is>
      </c>
      <c r="D617" s="13" t="n">
        <v>0.1929949999999998</v>
      </c>
      <c r="E617" s="13" t="n">
        <v>-0.0308299046009778</v>
      </c>
      <c r="F617" s="13" t="n">
        <v>4.244703</v>
      </c>
      <c r="G617" s="13">
        <f>D617+F617</f>
        <v/>
      </c>
      <c r="H617" s="13">
        <f>E617+F617</f>
        <v/>
      </c>
      <c r="I617" s="13">
        <f>ABS(D617-E617)</f>
        <v/>
      </c>
      <c r="J617" s="13">
        <f>(D617-E617)^2</f>
        <v/>
      </c>
      <c r="K617" s="14">
        <f>IF(ABS(G617)&lt;=1E-8,"",ABS((G617-H617)/G617))</f>
        <v/>
      </c>
    </row>
    <row r="618">
      <c r="A618" s="11" t="n">
        <v>45930</v>
      </c>
      <c r="B618" s="12" t="inlineStr">
        <is>
          <t>CA</t>
        </is>
      </c>
      <c r="C618" s="12" t="inlineStr">
        <is>
          <t>XGBoost</t>
        </is>
      </c>
      <c r="D618" s="13" t="n">
        <v>0</v>
      </c>
      <c r="E618" s="13" t="n">
        <v>-0.0308299046009778</v>
      </c>
      <c r="F618" s="13" t="n">
        <v>7.1</v>
      </c>
      <c r="G618" s="13">
        <f>D618+F618</f>
        <v/>
      </c>
      <c r="H618" s="13">
        <f>E618+F618</f>
        <v/>
      </c>
      <c r="I618" s="13">
        <f>ABS(D618-E618)</f>
        <v/>
      </c>
      <c r="J618" s="13">
        <f>(D618-E618)^2</f>
        <v/>
      </c>
      <c r="K618" s="14">
        <f>IF(ABS(G618)&lt;=1E-8,"",ABS((G618-H618)/G618))</f>
        <v/>
      </c>
    </row>
    <row r="619">
      <c r="A619" s="11" t="n">
        <v>45930</v>
      </c>
      <c r="B619" s="12" t="inlineStr">
        <is>
          <t>DE</t>
        </is>
      </c>
      <c r="C619" s="12" t="inlineStr">
        <is>
          <t>XGBoost</t>
        </is>
      </c>
      <c r="D619" s="13" t="n">
        <v>0</v>
      </c>
      <c r="E619" s="13" t="n">
        <v>-0.0308299046009778</v>
      </c>
      <c r="F619" s="13" t="n">
        <v>3.8</v>
      </c>
      <c r="G619" s="13">
        <f>D619+F619</f>
        <v/>
      </c>
      <c r="H619" s="13">
        <f>E619+F619</f>
        <v/>
      </c>
      <c r="I619" s="13">
        <f>ABS(D619-E619)</f>
        <v/>
      </c>
      <c r="J619" s="13">
        <f>(D619-E619)^2</f>
        <v/>
      </c>
      <c r="K619" s="14">
        <f>IF(ABS(G619)&lt;=1E-8,"",ABS((G619-H619)/G619))</f>
        <v/>
      </c>
    </row>
    <row r="620">
      <c r="A620" s="11" t="n">
        <v>45930</v>
      </c>
      <c r="B620" s="12" t="inlineStr">
        <is>
          <t>FR</t>
        </is>
      </c>
      <c r="C620" s="12" t="inlineStr">
        <is>
          <t>XGBoost</t>
        </is>
      </c>
      <c r="D620" s="13" t="n">
        <v>0.1000000000000005</v>
      </c>
      <c r="E620" s="13" t="n">
        <v>-0.0308299046009778</v>
      </c>
      <c r="F620" s="13" t="n">
        <v>7.8</v>
      </c>
      <c r="G620" s="13">
        <f>D620+F620</f>
        <v/>
      </c>
      <c r="H620" s="13">
        <f>E620+F620</f>
        <v/>
      </c>
      <c r="I620" s="13">
        <f>ABS(D620-E620)</f>
        <v/>
      </c>
      <c r="J620" s="13">
        <f>(D620-E620)^2</f>
        <v/>
      </c>
      <c r="K620" s="14">
        <f>IF(ABS(G620)&lt;=1E-8,"",ABS((G620-H620)/G620))</f>
        <v/>
      </c>
    </row>
    <row r="621">
      <c r="A621" s="11" t="n">
        <v>45930</v>
      </c>
      <c r="B621" s="12" t="inlineStr">
        <is>
          <t>GB</t>
        </is>
      </c>
      <c r="C621" s="12" t="inlineStr">
        <is>
          <t>XGBoost</t>
        </is>
      </c>
      <c r="D621" s="13" t="n">
        <v>0.0999999999999996</v>
      </c>
      <c r="E621" s="13" t="n">
        <v>-0.0308299046009778</v>
      </c>
      <c r="F621" s="13" t="n">
        <v>5</v>
      </c>
      <c r="G621" s="13">
        <f>D621+F621</f>
        <v/>
      </c>
      <c r="H621" s="13">
        <f>E621+F621</f>
        <v/>
      </c>
      <c r="I621" s="13">
        <f>ABS(D621-E621)</f>
        <v/>
      </c>
      <c r="J621" s="13">
        <f>(D621-E621)^2</f>
        <v/>
      </c>
      <c r="K621" s="14">
        <f>IF(ABS(G621)&lt;=1E-8,"",ABS((G621-H621)/G621))</f>
        <v/>
      </c>
    </row>
    <row r="622">
      <c r="A622" s="11" t="n">
        <v>45930</v>
      </c>
      <c r="B622" s="12" t="inlineStr">
        <is>
          <t>IT</t>
        </is>
      </c>
      <c r="C622" s="12" t="inlineStr">
        <is>
          <t>XGBoost</t>
        </is>
      </c>
      <c r="D622" s="13" t="n">
        <v>0</v>
      </c>
      <c r="E622" s="13" t="n">
        <v>-0.0308299046009778</v>
      </c>
      <c r="F622" s="13" t="n">
        <v>6</v>
      </c>
      <c r="G622" s="13">
        <f>D622+F622</f>
        <v/>
      </c>
      <c r="H622" s="13">
        <f>E622+F622</f>
        <v/>
      </c>
      <c r="I622" s="13">
        <f>ABS(D622-E622)</f>
        <v/>
      </c>
      <c r="J622" s="13">
        <f>(D622-E622)^2</f>
        <v/>
      </c>
      <c r="K622" s="14">
        <f>IF(ABS(G622)&lt;=1E-8,"",ABS((G622-H622)/G622))</f>
        <v/>
      </c>
    </row>
    <row r="623">
      <c r="A623" s="11" t="n">
        <v>45930</v>
      </c>
      <c r="B623" s="12" t="inlineStr">
        <is>
          <t>JP</t>
        </is>
      </c>
      <c r="C623" s="12" t="inlineStr">
        <is>
          <t>XGBoost</t>
        </is>
      </c>
      <c r="D623" s="13" t="n">
        <v>0</v>
      </c>
      <c r="E623" s="13" t="n">
        <v>-0.0308299046009778</v>
      </c>
      <c r="F623" s="13" t="n">
        <v>2.6</v>
      </c>
      <c r="G623" s="13">
        <f>D623+F623</f>
        <v/>
      </c>
      <c r="H623" s="13">
        <f>E623+F623</f>
        <v/>
      </c>
      <c r="I623" s="13">
        <f>ABS(D623-E623)</f>
        <v/>
      </c>
      <c r="J623" s="13">
        <f>(D623-E623)^2</f>
        <v/>
      </c>
      <c r="K623" s="14">
        <f>IF(ABS(G623)&lt;=1E-8,"",ABS((G623-H623)/G623))</f>
        <v/>
      </c>
    </row>
    <row r="624">
      <c r="A624" s="11" t="n">
        <v>45930</v>
      </c>
      <c r="B624" s="12" t="inlineStr">
        <is>
          <t>KR</t>
        </is>
      </c>
      <c r="C624" s="12" t="inlineStr">
        <is>
          <t>XGBoost</t>
        </is>
      </c>
      <c r="D624" s="13" t="n">
        <v>-0.0999999999999996</v>
      </c>
      <c r="E624" s="13" t="n">
        <v>-0.0308299046009778</v>
      </c>
      <c r="F624" s="13" t="n">
        <v>2.8</v>
      </c>
      <c r="G624" s="13">
        <f>D624+F624</f>
        <v/>
      </c>
      <c r="H624" s="13">
        <f>E624+F624</f>
        <v/>
      </c>
      <c r="I624" s="13">
        <f>ABS(D624-E624)</f>
        <v/>
      </c>
      <c r="J624" s="13">
        <f>(D624-E624)^2</f>
        <v/>
      </c>
      <c r="K624" s="14">
        <f>IF(ABS(G624)&lt;=1E-8,"",ABS((G624-H624)/G624))</f>
        <v/>
      </c>
    </row>
    <row r="625">
      <c r="A625" s="11" t="n">
        <v>45930</v>
      </c>
      <c r="B625" s="12" t="inlineStr">
        <is>
          <t>US</t>
        </is>
      </c>
      <c r="C625" s="12" t="inlineStr">
        <is>
          <t>XGBoost</t>
        </is>
      </c>
      <c r="D625" s="13" t="n">
        <v>0.1000000000000005</v>
      </c>
      <c r="E625" s="13" t="n">
        <v>-0.0308299046009778</v>
      </c>
      <c r="F625" s="13" t="n">
        <v>4.3</v>
      </c>
      <c r="G625" s="13">
        <f>D625+F625</f>
        <v/>
      </c>
      <c r="H625" s="13">
        <f>E625+F625</f>
        <v/>
      </c>
      <c r="I625" s="13">
        <f>ABS(D625-E625)</f>
        <v/>
      </c>
      <c r="J625" s="13">
        <f>(D625-E625)^2</f>
        <v/>
      </c>
      <c r="K625" s="14">
        <f>IF(ABS(G625)&lt;=1E-8,"",ABS((G625-H625)/G625))</f>
        <v/>
      </c>
    </row>
    <row r="626">
      <c r="A626" s="11" t="n">
        <v>45961</v>
      </c>
      <c r="B626" s="12" t="inlineStr">
        <is>
          <t>AU</t>
        </is>
      </c>
      <c r="C626" s="12" t="inlineStr">
        <is>
          <t>XGBoost</t>
        </is>
      </c>
      <c r="D626" s="13" t="n">
        <v>-0.1061500000000004</v>
      </c>
      <c r="E626" s="13" t="n">
        <v>-0.0277515444904565</v>
      </c>
      <c r="F626" s="13" t="n">
        <v>4.437698</v>
      </c>
      <c r="G626" s="13">
        <f>D626+F626</f>
        <v/>
      </c>
      <c r="H626" s="13">
        <f>E626+F626</f>
        <v/>
      </c>
      <c r="I626" s="13">
        <f>ABS(D626-E626)</f>
        <v/>
      </c>
      <c r="J626" s="13">
        <f>(D626-E626)^2</f>
        <v/>
      </c>
      <c r="K626" s="14">
        <f>IF(ABS(G626)&lt;=1E-8,"",ABS((G626-H626)/G626))</f>
        <v/>
      </c>
    </row>
    <row r="627">
      <c r="A627" s="11" t="n">
        <v>45961</v>
      </c>
      <c r="B627" s="12" t="inlineStr">
        <is>
          <t>CA</t>
        </is>
      </c>
      <c r="C627" s="12" t="inlineStr">
        <is>
          <t>XGBoost</t>
        </is>
      </c>
      <c r="D627" s="13" t="n">
        <v>-0.1999999999999993</v>
      </c>
      <c r="E627" s="13" t="n">
        <v>-0.0277515444904565</v>
      </c>
      <c r="F627" s="13" t="n">
        <v>7.1</v>
      </c>
      <c r="G627" s="13">
        <f>D627+F627</f>
        <v/>
      </c>
      <c r="H627" s="13">
        <f>E627+F627</f>
        <v/>
      </c>
      <c r="I627" s="13">
        <f>ABS(D627-E627)</f>
        <v/>
      </c>
      <c r="J627" s="13">
        <f>(D627-E627)^2</f>
        <v/>
      </c>
      <c r="K627" s="14">
        <f>IF(ABS(G627)&lt;=1E-8,"",ABS((G627-H627)/G627))</f>
        <v/>
      </c>
    </row>
    <row r="628">
      <c r="A628" s="11" t="n">
        <v>45961</v>
      </c>
      <c r="B628" s="12" t="inlineStr">
        <is>
          <t>DE</t>
        </is>
      </c>
      <c r="C628" s="12" t="inlineStr">
        <is>
          <t>XGBoost</t>
        </is>
      </c>
      <c r="D628" s="13" t="n">
        <v>0.1</v>
      </c>
      <c r="E628" s="13" t="n">
        <v>-0.0277515444904565</v>
      </c>
      <c r="F628" s="13" t="n">
        <v>3.8</v>
      </c>
      <c r="G628" s="13">
        <f>D628+F628</f>
        <v/>
      </c>
      <c r="H628" s="13">
        <f>E628+F628</f>
        <v/>
      </c>
      <c r="I628" s="13">
        <f>ABS(D628-E628)</f>
        <v/>
      </c>
      <c r="J628" s="13">
        <f>(D628-E628)^2</f>
        <v/>
      </c>
      <c r="K628" s="14">
        <f>IF(ABS(G628)&lt;=1E-8,"",ABS((G628-H628)/G628))</f>
        <v/>
      </c>
    </row>
    <row r="629">
      <c r="A629" s="11" t="n">
        <v>45961</v>
      </c>
      <c r="B629" s="12" t="inlineStr">
        <is>
          <t>FR</t>
        </is>
      </c>
      <c r="C629" s="12" t="inlineStr">
        <is>
          <t>XGBoost</t>
        </is>
      </c>
      <c r="D629" s="13" t="n">
        <v>0.0999999999999996</v>
      </c>
      <c r="E629" s="13" t="n">
        <v>-0.0277515444904565</v>
      </c>
      <c r="F629" s="13" t="n">
        <v>7.9</v>
      </c>
      <c r="G629" s="13">
        <f>D629+F629</f>
        <v/>
      </c>
      <c r="H629" s="13">
        <f>E629+F629</f>
        <v/>
      </c>
      <c r="I629" s="13">
        <f>ABS(D629-E629)</f>
        <v/>
      </c>
      <c r="J629" s="13">
        <f>(D629-E629)^2</f>
        <v/>
      </c>
      <c r="K629" s="14">
        <f>IF(ABS(G629)&lt;=1E-8,"",ABS((G629-H629)/G629))</f>
        <v/>
      </c>
    </row>
    <row r="630">
      <c r="A630" s="11" t="n">
        <v>45961</v>
      </c>
      <c r="B630" s="12" t="inlineStr">
        <is>
          <t>GB</t>
        </is>
      </c>
      <c r="C630" s="12" t="inlineStr">
        <is>
          <t>XGBoost</t>
        </is>
      </c>
      <c r="D630" s="13" t="n">
        <v>0</v>
      </c>
      <c r="E630" s="13" t="n">
        <v>-0.0277515444904565</v>
      </c>
      <c r="F630" s="13" t="n">
        <v>5.1</v>
      </c>
      <c r="G630" s="13">
        <f>D630+F630</f>
        <v/>
      </c>
      <c r="H630" s="13">
        <f>E630+F630</f>
        <v/>
      </c>
      <c r="I630" s="13">
        <f>ABS(D630-E630)</f>
        <v/>
      </c>
      <c r="J630" s="13">
        <f>(D630-E630)^2</f>
        <v/>
      </c>
      <c r="K630" s="14">
        <f>IF(ABS(G630)&lt;=1E-8,"",ABS((G630-H630)/G630))</f>
        <v/>
      </c>
    </row>
    <row r="631">
      <c r="A631" s="11" t="n">
        <v>45961</v>
      </c>
      <c r="B631" s="12" t="inlineStr">
        <is>
          <t>IT</t>
        </is>
      </c>
      <c r="C631" s="12" t="inlineStr">
        <is>
          <t>XGBoost</t>
        </is>
      </c>
      <c r="D631" s="13" t="n">
        <v>-0.2000000000000001</v>
      </c>
      <c r="E631" s="13" t="n">
        <v>-0.0277515444904565</v>
      </c>
      <c r="F631" s="13" t="n">
        <v>6</v>
      </c>
      <c r="G631" s="13">
        <f>D631+F631</f>
        <v/>
      </c>
      <c r="H631" s="13">
        <f>E631+F631</f>
        <v/>
      </c>
      <c r="I631" s="13">
        <f>ABS(D631-E631)</f>
        <v/>
      </c>
      <c r="J631" s="13">
        <f>(D631-E631)^2</f>
        <v/>
      </c>
      <c r="K631" s="14">
        <f>IF(ABS(G631)&lt;=1E-8,"",ABS((G631-H631)/G631))</f>
        <v/>
      </c>
    </row>
    <row r="632">
      <c r="A632" s="11" t="n">
        <v>45961</v>
      </c>
      <c r="B632" s="12" t="inlineStr">
        <is>
          <t>JP</t>
        </is>
      </c>
      <c r="C632" s="12" t="inlineStr">
        <is>
          <t>XGBoost</t>
        </is>
      </c>
      <c r="D632" s="13" t="n">
        <v>0</v>
      </c>
      <c r="E632" s="13" t="n">
        <v>-0.0277515444904565</v>
      </c>
      <c r="F632" s="13" t="n">
        <v>2.6</v>
      </c>
      <c r="G632" s="13">
        <f>D632+F632</f>
        <v/>
      </c>
      <c r="H632" s="13">
        <f>E632+F632</f>
        <v/>
      </c>
      <c r="I632" s="13">
        <f>ABS(D632-E632)</f>
        <v/>
      </c>
      <c r="J632" s="13">
        <f>(D632-E632)^2</f>
        <v/>
      </c>
      <c r="K632" s="14">
        <f>IF(ABS(G632)&lt;=1E-8,"",ABS((G632-H632)/G632))</f>
        <v/>
      </c>
    </row>
    <row r="633">
      <c r="A633" s="11" t="n">
        <v>45961</v>
      </c>
      <c r="B633" s="12" t="inlineStr">
        <is>
          <t>KR</t>
        </is>
      </c>
      <c r="C633" s="12" t="inlineStr">
        <is>
          <t>XGBoost</t>
        </is>
      </c>
      <c r="D633" s="13" t="n">
        <v>0</v>
      </c>
      <c r="E633" s="13" t="n">
        <v>-0.0277515444904565</v>
      </c>
      <c r="F633" s="13" t="n">
        <v>2.7</v>
      </c>
      <c r="G633" s="13">
        <f>D633+F633</f>
        <v/>
      </c>
      <c r="H633" s="13">
        <f>E633+F633</f>
        <v/>
      </c>
      <c r="I633" s="13">
        <f>ABS(D633-E633)</f>
        <v/>
      </c>
      <c r="J633" s="13">
        <f>(D633-E633)^2</f>
        <v/>
      </c>
      <c r="K633" s="14">
        <f>IF(ABS(G633)&lt;=1E-8,"",ABS((G633-H633)/G633))</f>
        <v/>
      </c>
    </row>
    <row r="634">
      <c r="A634" s="11" t="n">
        <v>45961</v>
      </c>
      <c r="B634" s="12" t="inlineStr">
        <is>
          <t>US</t>
        </is>
      </c>
      <c r="C634" s="12" t="inlineStr">
        <is>
          <t>XGBoost</t>
        </is>
      </c>
      <c r="D634" s="13" t="n">
        <v>0.0499999999999998</v>
      </c>
      <c r="E634" s="13" t="n">
        <v>-0.0277515444904565</v>
      </c>
      <c r="F634" s="13" t="n">
        <v>4.4</v>
      </c>
      <c r="G634" s="13">
        <f>D634+F634</f>
        <v/>
      </c>
      <c r="H634" s="13">
        <f>E634+F634</f>
        <v/>
      </c>
      <c r="I634" s="13">
        <f>ABS(D634-E634)</f>
        <v/>
      </c>
      <c r="J634" s="13">
        <f>(D634-E634)^2</f>
        <v/>
      </c>
      <c r="K634" s="14">
        <f>IF(ABS(G634)&lt;=1E-8,"",ABS((G634-H634)/G634))</f>
        <v/>
      </c>
    </row>
    <row r="635">
      <c r="A635" s="11" t="n">
        <v>45991</v>
      </c>
      <c r="B635" s="12" t="inlineStr">
        <is>
          <t>AU</t>
        </is>
      </c>
      <c r="C635" s="12" t="inlineStr">
        <is>
          <t>XGBoost</t>
        </is>
      </c>
      <c r="D635" s="13" t="n">
        <v>-0.0092359999999995</v>
      </c>
      <c r="E635" s="13" t="n">
        <v>-0.0254935026168823</v>
      </c>
      <c r="F635" s="13" t="n">
        <v>4.331548</v>
      </c>
      <c r="G635" s="13">
        <f>D635+F635</f>
        <v/>
      </c>
      <c r="H635" s="13">
        <f>E635+F635</f>
        <v/>
      </c>
      <c r="I635" s="13">
        <f>ABS(D635-E635)</f>
        <v/>
      </c>
      <c r="J635" s="13">
        <f>(D635-E635)^2</f>
        <v/>
      </c>
      <c r="K635" s="14">
        <f>IF(ABS(G635)&lt;=1E-8,"",ABS((G635-H635)/G635))</f>
        <v/>
      </c>
    </row>
    <row r="636">
      <c r="A636" s="11" t="n">
        <v>45991</v>
      </c>
      <c r="B636" s="12" t="inlineStr">
        <is>
          <t>CA</t>
        </is>
      </c>
      <c r="C636" s="12" t="inlineStr">
        <is>
          <t>XGBoost</t>
        </is>
      </c>
      <c r="D636" s="13" t="n">
        <v>-0.3000000000000007</v>
      </c>
      <c r="E636" s="13" t="n">
        <v>-0.0254935026168823</v>
      </c>
      <c r="F636" s="13" t="n">
        <v>6.9</v>
      </c>
      <c r="G636" s="13">
        <f>D636+F636</f>
        <v/>
      </c>
      <c r="H636" s="13">
        <f>E636+F636</f>
        <v/>
      </c>
      <c r="I636" s="13">
        <f>ABS(D636-E636)</f>
        <v/>
      </c>
      <c r="J636" s="13">
        <f>(D636-E636)^2</f>
        <v/>
      </c>
      <c r="K636" s="14">
        <f>IF(ABS(G636)&lt;=1E-8,"",ABS((G636-H636)/G636))</f>
        <v/>
      </c>
    </row>
    <row r="637">
      <c r="A637" s="11" t="n">
        <v>45991</v>
      </c>
      <c r="B637" s="12" t="inlineStr">
        <is>
          <t>DE</t>
        </is>
      </c>
      <c r="C637" s="12" t="inlineStr">
        <is>
          <t>XGBoost</t>
        </is>
      </c>
      <c r="D637" s="13" t="n">
        <v>0</v>
      </c>
      <c r="E637" s="13" t="n">
        <v>-0.0254935026168823</v>
      </c>
      <c r="F637" s="13" t="n">
        <v>3.9</v>
      </c>
      <c r="G637" s="13">
        <f>D637+F637</f>
        <v/>
      </c>
      <c r="H637" s="13">
        <f>E637+F637</f>
        <v/>
      </c>
      <c r="I637" s="13">
        <f>ABS(D637-E637)</f>
        <v/>
      </c>
      <c r="J637" s="13">
        <f>(D637-E637)^2</f>
        <v/>
      </c>
      <c r="K637" s="14">
        <f>IF(ABS(G637)&lt;=1E-8,"",ABS((G637-H637)/G637))</f>
        <v/>
      </c>
    </row>
    <row r="638">
      <c r="A638" s="11" t="n">
        <v>45991</v>
      </c>
      <c r="B638" s="12" t="inlineStr">
        <is>
          <t>FR</t>
        </is>
      </c>
      <c r="C638" s="12" t="inlineStr">
        <is>
          <t>XGBoost</t>
        </is>
      </c>
      <c r="D638" s="13" t="n">
        <v>0</v>
      </c>
      <c r="E638" s="13" t="n">
        <v>-0.0254935026168823</v>
      </c>
      <c r="F638" s="13" t="n">
        <v>8</v>
      </c>
      <c r="G638" s="13">
        <f>D638+F638</f>
        <v/>
      </c>
      <c r="H638" s="13">
        <f>E638+F638</f>
        <v/>
      </c>
      <c r="I638" s="13">
        <f>ABS(D638-E638)</f>
        <v/>
      </c>
      <c r="J638" s="13">
        <f>(D638-E638)^2</f>
        <v/>
      </c>
      <c r="K638" s="14">
        <f>IF(ABS(G638)&lt;=1E-8,"",ABS((G638-H638)/G638))</f>
        <v/>
      </c>
    </row>
    <row r="639">
      <c r="A639" s="11" t="n">
        <v>45991</v>
      </c>
      <c r="B639" s="12" t="inlineStr">
        <is>
          <t>GB</t>
        </is>
      </c>
      <c r="C639" s="12" t="inlineStr">
        <is>
          <t>XGBoost</t>
        </is>
      </c>
      <c r="D639" s="13" t="n">
        <v>0.1000000000000005</v>
      </c>
      <c r="E639" s="13" t="n">
        <v>-0.0254935026168823</v>
      </c>
      <c r="F639" s="13" t="n">
        <v>5.1</v>
      </c>
      <c r="G639" s="13">
        <f>D639+F639</f>
        <v/>
      </c>
      <c r="H639" s="13">
        <f>E639+F639</f>
        <v/>
      </c>
      <c r="I639" s="13">
        <f>ABS(D639-E639)</f>
        <v/>
      </c>
      <c r="J639" s="13">
        <f>(D639-E639)^2</f>
        <v/>
      </c>
      <c r="K639" s="14">
        <f>IF(ABS(G639)&lt;=1E-8,"",ABS((G639-H639)/G639))</f>
        <v/>
      </c>
    </row>
    <row r="640">
      <c r="A640" s="11" t="n">
        <v>45991</v>
      </c>
      <c r="B640" s="12" t="inlineStr">
        <is>
          <t>IT</t>
        </is>
      </c>
      <c r="C640" s="12" t="inlineStr">
        <is>
          <t>XGBoost</t>
        </is>
      </c>
      <c r="D640" s="13" t="n">
        <v>-0.0999999999999996</v>
      </c>
      <c r="E640" s="13" t="n">
        <v>-0.0254935026168823</v>
      </c>
      <c r="F640" s="13" t="n">
        <v>5.8</v>
      </c>
      <c r="G640" s="13">
        <f>D640+F640</f>
        <v/>
      </c>
      <c r="H640" s="13">
        <f>E640+F640</f>
        <v/>
      </c>
      <c r="I640" s="13">
        <f>ABS(D640-E640)</f>
        <v/>
      </c>
      <c r="J640" s="13">
        <f>(D640-E640)^2</f>
        <v/>
      </c>
      <c r="K640" s="14">
        <f>IF(ABS(G640)&lt;=1E-8,"",ABS((G640-H640)/G640))</f>
        <v/>
      </c>
    </row>
    <row r="641">
      <c r="A641" s="11" t="n">
        <v>45991</v>
      </c>
      <c r="B641" s="12" t="inlineStr">
        <is>
          <t>JP</t>
        </is>
      </c>
      <c r="C641" s="12" t="inlineStr">
        <is>
          <t>XGBoost</t>
        </is>
      </c>
      <c r="D641" s="13" t="n">
        <v>0</v>
      </c>
      <c r="E641" s="13" t="n">
        <v>-0.0254935026168823</v>
      </c>
      <c r="F641" s="13" t="n">
        <v>2.6</v>
      </c>
      <c r="G641" s="13">
        <f>D641+F641</f>
        <v/>
      </c>
      <c r="H641" s="13">
        <f>E641+F641</f>
        <v/>
      </c>
      <c r="I641" s="13">
        <f>ABS(D641-E641)</f>
        <v/>
      </c>
      <c r="J641" s="13">
        <f>(D641-E641)^2</f>
        <v/>
      </c>
      <c r="K641" s="14">
        <f>IF(ABS(G641)&lt;=1E-8,"",ABS((G641-H641)/G641))</f>
        <v/>
      </c>
    </row>
    <row r="642">
      <c r="A642" s="11" t="n">
        <v>45991</v>
      </c>
      <c r="B642" s="12" t="inlineStr">
        <is>
          <t>KR</t>
        </is>
      </c>
      <c r="C642" s="12" t="inlineStr">
        <is>
          <t>XGBoost</t>
        </is>
      </c>
      <c r="D642" s="13" t="n">
        <v>0.0999999999999996</v>
      </c>
      <c r="E642" s="13" t="n">
        <v>-0.0254935026168823</v>
      </c>
      <c r="F642" s="13" t="n">
        <v>2.7</v>
      </c>
      <c r="G642" s="13">
        <f>D642+F642</f>
        <v/>
      </c>
      <c r="H642" s="13">
        <f>E642+F642</f>
        <v/>
      </c>
      <c r="I642" s="13">
        <f>ABS(D642-E642)</f>
        <v/>
      </c>
      <c r="J642" s="13">
        <f>(D642-E642)^2</f>
        <v/>
      </c>
      <c r="K642" s="14">
        <f>IF(ABS(G642)&lt;=1E-8,"",ABS((G642-H642)/G642))</f>
        <v/>
      </c>
    </row>
    <row r="643">
      <c r="A643" s="11" t="n">
        <v>45991</v>
      </c>
      <c r="B643" s="12" t="inlineStr">
        <is>
          <t>US</t>
        </is>
      </c>
      <c r="C643" s="12" t="inlineStr">
        <is>
          <t>XGBoost</t>
        </is>
      </c>
      <c r="D643" s="13" t="n">
        <v>0.0499999999999998</v>
      </c>
      <c r="E643" s="13" t="n">
        <v>-0.0254935026168823</v>
      </c>
      <c r="F643" s="13" t="n">
        <v>4.45</v>
      </c>
      <c r="G643" s="13">
        <f>D643+F643</f>
        <v/>
      </c>
      <c r="H643" s="13">
        <f>E643+F643</f>
        <v/>
      </c>
      <c r="I643" s="13">
        <f>ABS(D643-E643)</f>
        <v/>
      </c>
      <c r="J643" s="13">
        <f>(D643-E643)^2</f>
        <v/>
      </c>
      <c r="K643" s="14">
        <f>IF(ABS(G643)&lt;=1E-8,"",ABS((G643-H643)/G643))</f>
        <v/>
      </c>
    </row>
    <row r="644">
      <c r="A644" s="11" t="n">
        <v>46022</v>
      </c>
      <c r="B644" s="12" t="inlineStr">
        <is>
          <t>AU</t>
        </is>
      </c>
      <c r="C644" s="12" t="inlineStr">
        <is>
          <t>XGBoost</t>
        </is>
      </c>
      <c r="D644" s="13" t="n">
        <v>-0.2041919999999999</v>
      </c>
      <c r="E644" s="13" t="n">
        <v>-0.0227569248527288</v>
      </c>
      <c r="F644" s="13" t="n">
        <v>4.322312</v>
      </c>
      <c r="G644" s="13">
        <f>D644+F644</f>
        <v/>
      </c>
      <c r="H644" s="13">
        <f>E644+F644</f>
        <v/>
      </c>
      <c r="I644" s="13">
        <f>ABS(D644-E644)</f>
        <v/>
      </c>
      <c r="J644" s="13">
        <f>(D644-E644)^2</f>
        <v/>
      </c>
      <c r="K644" s="14">
        <f>IF(ABS(G644)&lt;=1E-8,"",ABS((G644-H644)/G644))</f>
        <v/>
      </c>
    </row>
    <row r="645">
      <c r="A645" s="11" t="n">
        <v>46022</v>
      </c>
      <c r="B645" s="12" t="inlineStr">
        <is>
          <t>CA</t>
        </is>
      </c>
      <c r="C645" s="12" t="inlineStr">
        <is>
          <t>XGBoost</t>
        </is>
      </c>
      <c r="D645" s="13" t="n">
        <v>0.2000000000000001</v>
      </c>
      <c r="E645" s="13" t="n">
        <v>-0.0227569248527288</v>
      </c>
      <c r="F645" s="13" t="n">
        <v>6.6</v>
      </c>
      <c r="G645" s="13">
        <f>D645+F645</f>
        <v/>
      </c>
      <c r="H645" s="13">
        <f>E645+F645</f>
        <v/>
      </c>
      <c r="I645" s="13">
        <f>ABS(D645-E645)</f>
        <v/>
      </c>
      <c r="J645" s="13">
        <f>(D645-E645)^2</f>
        <v/>
      </c>
      <c r="K645" s="14">
        <f>IF(ABS(G645)&lt;=1E-8,"",ABS((G645-H645)/G645))</f>
        <v/>
      </c>
    </row>
    <row r="646">
      <c r="A646" s="11" t="n">
        <v>46022</v>
      </c>
      <c r="B646" s="12" t="inlineStr">
        <is>
          <t>DE</t>
        </is>
      </c>
      <c r="C646" s="12" t="inlineStr">
        <is>
          <t>XGBoost</t>
        </is>
      </c>
      <c r="D646" s="13" t="n">
        <v>0</v>
      </c>
      <c r="E646" s="13" t="n">
        <v>-0.0227569248527288</v>
      </c>
      <c r="F646" s="13" t="n">
        <v>3.9</v>
      </c>
      <c r="G646" s="13">
        <f>D646+F646</f>
        <v/>
      </c>
      <c r="H646" s="13">
        <f>E646+F646</f>
        <v/>
      </c>
      <c r="I646" s="13">
        <f>ABS(D646-E646)</f>
        <v/>
      </c>
      <c r="J646" s="13">
        <f>(D646-E646)^2</f>
        <v/>
      </c>
      <c r="K646" s="14">
        <f>IF(ABS(G646)&lt;=1E-8,"",ABS((G646-H646)/G646))</f>
        <v/>
      </c>
    </row>
    <row r="647">
      <c r="A647" s="11" t="n">
        <v>46022</v>
      </c>
      <c r="B647" s="12" t="inlineStr">
        <is>
          <t>FR</t>
        </is>
      </c>
      <c r="C647" s="12" t="inlineStr">
        <is>
          <t>XGBoost</t>
        </is>
      </c>
      <c r="D647" s="13" t="n">
        <v>0</v>
      </c>
      <c r="E647" s="13" t="n">
        <v>-0.0227569248527288</v>
      </c>
      <c r="F647" s="13" t="n">
        <v>8</v>
      </c>
      <c r="G647" s="13">
        <f>D647+F647</f>
        <v/>
      </c>
      <c r="H647" s="13">
        <f>E647+F647</f>
        <v/>
      </c>
      <c r="I647" s="13">
        <f>ABS(D647-E647)</f>
        <v/>
      </c>
      <c r="J647" s="13">
        <f>(D647-E647)^2</f>
        <v/>
      </c>
      <c r="K647" s="14">
        <f>IF(ABS(G647)&lt;=1E-8,"",ABS((G647-H647)/G647))</f>
        <v/>
      </c>
    </row>
    <row r="648">
      <c r="A648" s="11" t="n">
        <v>46022</v>
      </c>
      <c r="B648" s="12" t="inlineStr">
        <is>
          <t>GB</t>
        </is>
      </c>
      <c r="C648" s="12" t="inlineStr">
        <is>
          <t>XGBoost</t>
        </is>
      </c>
      <c r="D648" s="13" t="n">
        <v>0</v>
      </c>
      <c r="E648" s="13" t="n">
        <v>-0.0227569248527288</v>
      </c>
      <c r="F648" s="13" t="n">
        <v>5.2</v>
      </c>
      <c r="G648" s="13">
        <f>D648+F648</f>
        <v/>
      </c>
      <c r="H648" s="13">
        <f>E648+F648</f>
        <v/>
      </c>
      <c r="I648" s="13">
        <f>ABS(D648-E648)</f>
        <v/>
      </c>
      <c r="J648" s="13">
        <f>(D648-E648)^2</f>
        <v/>
      </c>
      <c r="K648" s="14">
        <f>IF(ABS(G648)&lt;=1E-8,"",ABS((G648-H648)/G648))</f>
        <v/>
      </c>
    </row>
    <row r="649">
      <c r="A649" s="11" t="n">
        <v>46022</v>
      </c>
      <c r="B649" s="12" t="inlineStr">
        <is>
          <t>IT</t>
        </is>
      </c>
      <c r="C649" s="12" t="inlineStr">
        <is>
          <t>XGBoost</t>
        </is>
      </c>
      <c r="D649" s="13" t="n">
        <v>-0.1000000000000005</v>
      </c>
      <c r="E649" s="13" t="n">
        <v>-0.0227569248527288</v>
      </c>
      <c r="F649" s="13" t="n">
        <v>5.7</v>
      </c>
      <c r="G649" s="13">
        <f>D649+F649</f>
        <v/>
      </c>
      <c r="H649" s="13">
        <f>E649+F649</f>
        <v/>
      </c>
      <c r="I649" s="13">
        <f>ABS(D649-E649)</f>
        <v/>
      </c>
      <c r="J649" s="13">
        <f>(D649-E649)^2</f>
        <v/>
      </c>
      <c r="K649" s="14">
        <f>IF(ABS(G649)&lt;=1E-8,"",ABS((G649-H649)/G649))</f>
        <v/>
      </c>
    </row>
    <row r="650">
      <c r="A650" s="11" t="n">
        <v>46022</v>
      </c>
      <c r="B650" s="12" t="inlineStr">
        <is>
          <t>JP</t>
        </is>
      </c>
      <c r="C650" s="12" t="inlineStr">
        <is>
          <t>XGBoost</t>
        </is>
      </c>
      <c r="D650" s="13" t="n">
        <v>0</v>
      </c>
      <c r="E650" s="13" t="n">
        <v>-0.0227569248527288</v>
      </c>
      <c r="F650" s="13" t="n">
        <v>2.6</v>
      </c>
      <c r="G650" s="13">
        <f>D650+F650</f>
        <v/>
      </c>
      <c r="H650" s="13">
        <f>E650+F650</f>
        <v/>
      </c>
      <c r="I650" s="13">
        <f>ABS(D650-E650)</f>
        <v/>
      </c>
      <c r="J650" s="13">
        <f>(D650-E650)^2</f>
        <v/>
      </c>
      <c r="K650" s="14">
        <f>IF(ABS(G650)&lt;=1E-8,"",ABS((G650-H650)/G650))</f>
        <v/>
      </c>
    </row>
    <row r="651">
      <c r="A651" s="11" t="n">
        <v>46022</v>
      </c>
      <c r="B651" s="12" t="inlineStr">
        <is>
          <t>KR</t>
        </is>
      </c>
      <c r="C651" s="12" t="inlineStr">
        <is>
          <t>XGBoost</t>
        </is>
      </c>
      <c r="D651" s="13" t="n">
        <v>0.5</v>
      </c>
      <c r="E651" s="13" t="n">
        <v>-0.0227569248527288</v>
      </c>
      <c r="F651" s="13" t="n">
        <v>2.8</v>
      </c>
      <c r="G651" s="13">
        <f>D651+F651</f>
        <v/>
      </c>
      <c r="H651" s="13">
        <f>E651+F651</f>
        <v/>
      </c>
      <c r="I651" s="13">
        <f>ABS(D651-E651)</f>
        <v/>
      </c>
      <c r="J651" s="13">
        <f>(D651-E651)^2</f>
        <v/>
      </c>
      <c r="K651" s="14">
        <f>IF(ABS(G651)&lt;=1E-8,"",ABS((G651-H651)/G651))</f>
        <v/>
      </c>
    </row>
    <row r="652">
      <c r="A652" s="11" t="n">
        <v>46022</v>
      </c>
      <c r="B652" s="12" t="inlineStr">
        <is>
          <t>US</t>
        </is>
      </c>
      <c r="C652" s="12" t="inlineStr">
        <is>
          <t>XGBoost</t>
        </is>
      </c>
      <c r="D652" s="13" t="n">
        <v>-0.0999999999999996</v>
      </c>
      <c r="E652" s="13" t="n">
        <v>-0.0227569248527288</v>
      </c>
      <c r="F652" s="13" t="n">
        <v>4.5</v>
      </c>
      <c r="G652" s="13">
        <f>D652+F652</f>
        <v/>
      </c>
      <c r="H652" s="13">
        <f>E652+F652</f>
        <v/>
      </c>
      <c r="I652" s="13">
        <f>ABS(D652-E652)</f>
        <v/>
      </c>
      <c r="J652" s="13">
        <f>(D652-E652)^2</f>
        <v/>
      </c>
      <c r="K652" s="14">
        <f>IF(ABS(G652)&lt;=1E-8,"",ABS((G652-H652)/G652))</f>
        <v/>
      </c>
    </row>
    <row r="653">
      <c r="A653" s="11" t="n">
        <v>45322</v>
      </c>
      <c r="B653" s="12" t="inlineStr">
        <is>
          <t>AU</t>
        </is>
      </c>
      <c r="C653" s="12" t="inlineStr">
        <is>
          <t>AR(1)</t>
        </is>
      </c>
      <c r="D653" s="13" t="n">
        <v>0.1054659999999998</v>
      </c>
      <c r="E653" s="13" t="n">
        <v>0.08453756683703099</v>
      </c>
      <c r="F653" s="13" t="n">
        <v>3.987057</v>
      </c>
      <c r="G653" s="13">
        <f>D653+F653</f>
        <v/>
      </c>
      <c r="H653" s="13">
        <f>E653+F653</f>
        <v/>
      </c>
      <c r="I653" s="13">
        <f>ABS(D653-E653)</f>
        <v/>
      </c>
      <c r="J653" s="13">
        <f>(D653-E653)^2</f>
        <v/>
      </c>
      <c r="K653" s="14">
        <f>IF(ABS(G653)&lt;=1E-8,"",ABS((G653-H653)/G653))</f>
        <v/>
      </c>
    </row>
    <row r="654">
      <c r="A654" s="11" t="n">
        <v>45322</v>
      </c>
      <c r="B654" s="12" t="inlineStr">
        <is>
          <t>CA</t>
        </is>
      </c>
      <c r="C654" s="12" t="inlineStr">
        <is>
          <t>AR(1)</t>
        </is>
      </c>
      <c r="D654" s="13" t="n">
        <v>-0.0999999999999996</v>
      </c>
      <c r="E654" s="13" t="n">
        <v>0.1096201005668358</v>
      </c>
      <c r="F654" s="13" t="n">
        <v>5.8</v>
      </c>
      <c r="G654" s="13">
        <f>D654+F654</f>
        <v/>
      </c>
      <c r="H654" s="13">
        <f>E654+F654</f>
        <v/>
      </c>
      <c r="I654" s="13">
        <f>ABS(D654-E654)</f>
        <v/>
      </c>
      <c r="J654" s="13">
        <f>(D654-E654)^2</f>
        <v/>
      </c>
      <c r="K654" s="14">
        <f>IF(ABS(G654)&lt;=1E-8,"",ABS((G654-H654)/G654))</f>
        <v/>
      </c>
    </row>
    <row r="655">
      <c r="A655" s="11" t="n">
        <v>45322</v>
      </c>
      <c r="B655" s="12" t="inlineStr">
        <is>
          <t>DE</t>
        </is>
      </c>
      <c r="C655" s="12" t="inlineStr">
        <is>
          <t>AR(1)</t>
        </is>
      </c>
      <c r="D655" s="13" t="n">
        <v>0</v>
      </c>
      <c r="E655" s="13" t="n">
        <v>0.0108495307475023</v>
      </c>
      <c r="F655" s="13" t="n">
        <v>3.2</v>
      </c>
      <c r="G655" s="13">
        <f>D655+F655</f>
        <v/>
      </c>
      <c r="H655" s="13">
        <f>E655+F655</f>
        <v/>
      </c>
      <c r="I655" s="13">
        <f>ABS(D655-E655)</f>
        <v/>
      </c>
      <c r="J655" s="13">
        <f>(D655-E655)^2</f>
        <v/>
      </c>
      <c r="K655" s="14">
        <f>IF(ABS(G655)&lt;=1E-8,"",ABS((G655-H655)/G655))</f>
        <v/>
      </c>
    </row>
    <row r="656">
      <c r="A656" s="11" t="n">
        <v>45322</v>
      </c>
      <c r="B656" s="12" t="inlineStr">
        <is>
          <t>FR</t>
        </is>
      </c>
      <c r="C656" s="12" t="inlineStr">
        <is>
          <t>AR(1)</t>
        </is>
      </c>
      <c r="D656" s="13" t="n">
        <v>0</v>
      </c>
      <c r="E656" s="13" t="n">
        <v>0.0053994112874179</v>
      </c>
      <c r="F656" s="13" t="n">
        <v>7.6</v>
      </c>
      <c r="G656" s="13">
        <f>D656+F656</f>
        <v/>
      </c>
      <c r="H656" s="13">
        <f>E656+F656</f>
        <v/>
      </c>
      <c r="I656" s="13">
        <f>ABS(D656-E656)</f>
        <v/>
      </c>
      <c r="J656" s="13">
        <f>(D656-E656)^2</f>
        <v/>
      </c>
      <c r="K656" s="14">
        <f>IF(ABS(G656)&lt;=1E-8,"",ABS((G656-H656)/G656))</f>
        <v/>
      </c>
    </row>
    <row r="657">
      <c r="A657" s="11" t="n">
        <v>45322</v>
      </c>
      <c r="B657" s="12" t="inlineStr">
        <is>
          <t>GB</t>
        </is>
      </c>
      <c r="C657" s="12" t="inlineStr">
        <is>
          <t>AR(1)</t>
        </is>
      </c>
      <c r="D657" s="13" t="n">
        <v>0.1000000000000005</v>
      </c>
      <c r="E657" s="13" t="n">
        <v>0.0111485368063849</v>
      </c>
      <c r="F657" s="13" t="n">
        <v>4.1</v>
      </c>
      <c r="G657" s="13">
        <f>D657+F657</f>
        <v/>
      </c>
      <c r="H657" s="13">
        <f>E657+F657</f>
        <v/>
      </c>
      <c r="I657" s="13">
        <f>ABS(D657-E657)</f>
        <v/>
      </c>
      <c r="J657" s="13">
        <f>(D657-E657)^2</f>
        <v/>
      </c>
      <c r="K657" s="14">
        <f>IF(ABS(G657)&lt;=1E-8,"",ABS((G657-H657)/G657))</f>
        <v/>
      </c>
    </row>
    <row r="658">
      <c r="A658" s="11" t="n">
        <v>45322</v>
      </c>
      <c r="B658" s="12" t="inlineStr">
        <is>
          <t>IT</t>
        </is>
      </c>
      <c r="C658" s="12" t="inlineStr">
        <is>
          <t>AR(1)</t>
        </is>
      </c>
      <c r="D658" s="13" t="n">
        <v>0</v>
      </c>
      <c r="E658" s="13" t="n">
        <v>0.166078504172592</v>
      </c>
      <c r="F658" s="13" t="n">
        <v>7.1</v>
      </c>
      <c r="G658" s="13">
        <f>D658+F658</f>
        <v/>
      </c>
      <c r="H658" s="13">
        <f>E658+F658</f>
        <v/>
      </c>
      <c r="I658" s="13">
        <f>ABS(D658-E658)</f>
        <v/>
      </c>
      <c r="J658" s="13">
        <f>(D658-E658)^2</f>
        <v/>
      </c>
      <c r="K658" s="14">
        <f>IF(ABS(G658)&lt;=1E-8,"",ABS((G658-H658)/G658))</f>
        <v/>
      </c>
    </row>
    <row r="659">
      <c r="A659" s="11" t="n">
        <v>45322</v>
      </c>
      <c r="B659" s="12" t="inlineStr">
        <is>
          <t>JP</t>
        </is>
      </c>
      <c r="C659" s="12" t="inlineStr">
        <is>
          <t>AR(1)</t>
        </is>
      </c>
      <c r="D659" s="13" t="n">
        <v>0</v>
      </c>
      <c r="E659" s="13" t="n">
        <v>0.0148488865987982</v>
      </c>
      <c r="F659" s="13" t="n">
        <v>2.5</v>
      </c>
      <c r="G659" s="13">
        <f>D659+F659</f>
        <v/>
      </c>
      <c r="H659" s="13">
        <f>E659+F659</f>
        <v/>
      </c>
      <c r="I659" s="13">
        <f>ABS(D659-E659)</f>
        <v/>
      </c>
      <c r="J659" s="13">
        <f>(D659-E659)^2</f>
        <v/>
      </c>
      <c r="K659" s="14">
        <f>IF(ABS(G659)&lt;=1E-8,"",ABS((G659-H659)/G659))</f>
        <v/>
      </c>
    </row>
    <row r="660">
      <c r="A660" s="11" t="n">
        <v>45322</v>
      </c>
      <c r="B660" s="12" t="inlineStr">
        <is>
          <t>KR</t>
        </is>
      </c>
      <c r="C660" s="12" t="inlineStr">
        <is>
          <t>AR(1)</t>
        </is>
      </c>
      <c r="D660" s="13" t="n">
        <v>0</v>
      </c>
      <c r="E660" s="13" t="n">
        <v>0.055922971517944</v>
      </c>
      <c r="F660" s="13" t="n">
        <v>2.8</v>
      </c>
      <c r="G660" s="13">
        <f>D660+F660</f>
        <v/>
      </c>
      <c r="H660" s="13">
        <f>E660+F660</f>
        <v/>
      </c>
      <c r="I660" s="13">
        <f>ABS(D660-E660)</f>
        <v/>
      </c>
      <c r="J660" s="13">
        <f>(D660-E660)^2</f>
        <v/>
      </c>
      <c r="K660" s="14">
        <f>IF(ABS(G660)&lt;=1E-8,"",ABS((G660-H660)/G660))</f>
        <v/>
      </c>
    </row>
    <row r="661">
      <c r="A661" s="11" t="n">
        <v>45322</v>
      </c>
      <c r="B661" s="12" t="inlineStr">
        <is>
          <t>US</t>
        </is>
      </c>
      <c r="C661" s="12" t="inlineStr">
        <is>
          <t>AR(1)</t>
        </is>
      </c>
      <c r="D661" s="13" t="n">
        <v>-0.0999999999999996</v>
      </c>
      <c r="E661" s="13" t="n">
        <v>0.1251350096835967</v>
      </c>
      <c r="F661" s="13" t="n">
        <v>3.8</v>
      </c>
      <c r="G661" s="13">
        <f>D661+F661</f>
        <v/>
      </c>
      <c r="H661" s="13">
        <f>E661+F661</f>
        <v/>
      </c>
      <c r="I661" s="13">
        <f>ABS(D661-E661)</f>
        <v/>
      </c>
      <c r="J661" s="13">
        <f>(D661-E661)^2</f>
        <v/>
      </c>
      <c r="K661" s="14">
        <f>IF(ABS(G661)&lt;=1E-8,"",ABS((G661-H661)/G661))</f>
        <v/>
      </c>
    </row>
    <row r="662">
      <c r="A662" s="11" t="n">
        <v>45351</v>
      </c>
      <c r="B662" s="12" t="inlineStr">
        <is>
          <t>AU</t>
        </is>
      </c>
      <c r="C662" s="12" t="inlineStr">
        <is>
          <t>AR(1)</t>
        </is>
      </c>
      <c r="D662" s="13" t="n">
        <v>-0.3511820000000001</v>
      </c>
      <c r="E662" s="13" t="n">
        <v>0.0712306467879209</v>
      </c>
      <c r="F662" s="13" t="n">
        <v>4.092523</v>
      </c>
      <c r="G662" s="13">
        <f>D662+F662</f>
        <v/>
      </c>
      <c r="H662" s="13">
        <f>E662+F662</f>
        <v/>
      </c>
      <c r="I662" s="13">
        <f>ABS(D662-E662)</f>
        <v/>
      </c>
      <c r="J662" s="13">
        <f>(D662-E662)^2</f>
        <v/>
      </c>
      <c r="K662" s="14">
        <f>IF(ABS(G662)&lt;=1E-8,"",ABS((G662-H662)/G662))</f>
        <v/>
      </c>
    </row>
    <row r="663">
      <c r="A663" s="11" t="n">
        <v>45351</v>
      </c>
      <c r="B663" s="12" t="inlineStr">
        <is>
          <t>CA</t>
        </is>
      </c>
      <c r="C663" s="12" t="inlineStr">
        <is>
          <t>AR(1)</t>
        </is>
      </c>
      <c r="D663" s="13" t="n">
        <v>0.2000000000000001</v>
      </c>
      <c r="E663" s="13" t="n">
        <v>0.1181763076271408</v>
      </c>
      <c r="F663" s="13" t="n">
        <v>5.7</v>
      </c>
      <c r="G663" s="13">
        <f>D663+F663</f>
        <v/>
      </c>
      <c r="H663" s="13">
        <f>E663+F663</f>
        <v/>
      </c>
      <c r="I663" s="13">
        <f>ABS(D663-E663)</f>
        <v/>
      </c>
      <c r="J663" s="13">
        <f>(D663-E663)^2</f>
        <v/>
      </c>
      <c r="K663" s="14">
        <f>IF(ABS(G663)&lt;=1E-8,"",ABS((G663-H663)/G663))</f>
        <v/>
      </c>
    </row>
    <row r="664">
      <c r="A664" s="11" t="n">
        <v>45351</v>
      </c>
      <c r="B664" s="12" t="inlineStr">
        <is>
          <t>DE</t>
        </is>
      </c>
      <c r="C664" s="12" t="inlineStr">
        <is>
          <t>AR(1)</t>
        </is>
      </c>
      <c r="D664" s="13" t="n">
        <v>0</v>
      </c>
      <c r="E664" s="13" t="n">
        <v>0.0126938329473644</v>
      </c>
      <c r="F664" s="13" t="n">
        <v>3.2</v>
      </c>
      <c r="G664" s="13">
        <f>D664+F664</f>
        <v/>
      </c>
      <c r="H664" s="13">
        <f>E664+F664</f>
        <v/>
      </c>
      <c r="I664" s="13">
        <f>ABS(D664-E664)</f>
        <v/>
      </c>
      <c r="J664" s="13">
        <f>(D664-E664)^2</f>
        <v/>
      </c>
      <c r="K664" s="14">
        <f>IF(ABS(G664)&lt;=1E-8,"",ABS((G664-H664)/G664))</f>
        <v/>
      </c>
    </row>
    <row r="665">
      <c r="A665" s="11" t="n">
        <v>45351</v>
      </c>
      <c r="B665" s="12" t="inlineStr">
        <is>
          <t>FR</t>
        </is>
      </c>
      <c r="C665" s="12" t="inlineStr">
        <is>
          <t>AR(1)</t>
        </is>
      </c>
      <c r="D665" s="13" t="n">
        <v>-0.0999999999999996</v>
      </c>
      <c r="E665" s="13" t="n">
        <v>0.0030112282178259</v>
      </c>
      <c r="F665" s="13" t="n">
        <v>7.6</v>
      </c>
      <c r="G665" s="13">
        <f>D665+F665</f>
        <v/>
      </c>
      <c r="H665" s="13">
        <f>E665+F665</f>
        <v/>
      </c>
      <c r="I665" s="13">
        <f>ABS(D665-E665)</f>
        <v/>
      </c>
      <c r="J665" s="13">
        <f>(D665-E665)^2</f>
        <v/>
      </c>
      <c r="K665" s="14">
        <f>IF(ABS(G665)&lt;=1E-8,"",ABS((G665-H665)/G665))</f>
        <v/>
      </c>
    </row>
    <row r="666">
      <c r="A666" s="11" t="n">
        <v>45351</v>
      </c>
      <c r="B666" s="12" t="inlineStr">
        <is>
          <t>GB</t>
        </is>
      </c>
      <c r="C666" s="12" t="inlineStr">
        <is>
          <t>AR(1)</t>
        </is>
      </c>
      <c r="D666" s="13" t="n">
        <v>0.0999999999999996</v>
      </c>
      <c r="E666" s="13" t="n">
        <v>-0.0001768540219281</v>
      </c>
      <c r="F666" s="13" t="n">
        <v>4.2</v>
      </c>
      <c r="G666" s="13">
        <f>D666+F666</f>
        <v/>
      </c>
      <c r="H666" s="13">
        <f>E666+F666</f>
        <v/>
      </c>
      <c r="I666" s="13">
        <f>ABS(D666-E666)</f>
        <v/>
      </c>
      <c r="J666" s="13">
        <f>(D666-E666)^2</f>
        <v/>
      </c>
      <c r="K666" s="14">
        <f>IF(ABS(G666)&lt;=1E-8,"",ABS((G666-H666)/G666))</f>
        <v/>
      </c>
    </row>
    <row r="667">
      <c r="A667" s="11" t="n">
        <v>45351</v>
      </c>
      <c r="B667" s="12" t="inlineStr">
        <is>
          <t>IT</t>
        </is>
      </c>
      <c r="C667" s="12" t="inlineStr">
        <is>
          <t>AR(1)</t>
        </is>
      </c>
      <c r="D667" s="13" t="n">
        <v>0.2000000000000001</v>
      </c>
      <c r="E667" s="13" t="n">
        <v>0.1594230224772452</v>
      </c>
      <c r="F667" s="13" t="n">
        <v>7.1</v>
      </c>
      <c r="G667" s="13">
        <f>D667+F667</f>
        <v/>
      </c>
      <c r="H667" s="13">
        <f>E667+F667</f>
        <v/>
      </c>
      <c r="I667" s="13">
        <f>ABS(D667-E667)</f>
        <v/>
      </c>
      <c r="J667" s="13">
        <f>(D667-E667)^2</f>
        <v/>
      </c>
      <c r="K667" s="14">
        <f>IF(ABS(G667)&lt;=1E-8,"",ABS((G667-H667)/G667))</f>
        <v/>
      </c>
    </row>
    <row r="668">
      <c r="A668" s="11" t="n">
        <v>45351</v>
      </c>
      <c r="B668" s="12" t="inlineStr">
        <is>
          <t>JP</t>
        </is>
      </c>
      <c r="C668" s="12" t="inlineStr">
        <is>
          <t>AR(1)</t>
        </is>
      </c>
      <c r="D668" s="13" t="n">
        <v>0.1</v>
      </c>
      <c r="E668" s="13" t="n">
        <v>0.0148207910555491</v>
      </c>
      <c r="F668" s="13" t="n">
        <v>2.5</v>
      </c>
      <c r="G668" s="13">
        <f>D668+F668</f>
        <v/>
      </c>
      <c r="H668" s="13">
        <f>E668+F668</f>
        <v/>
      </c>
      <c r="I668" s="13">
        <f>ABS(D668-E668)</f>
        <v/>
      </c>
      <c r="J668" s="13">
        <f>(D668-E668)^2</f>
        <v/>
      </c>
      <c r="K668" s="14">
        <f>IF(ABS(G668)&lt;=1E-8,"",ABS((G668-H668)/G668))</f>
        <v/>
      </c>
    </row>
    <row r="669">
      <c r="A669" s="11" t="n">
        <v>45351</v>
      </c>
      <c r="B669" s="12" t="inlineStr">
        <is>
          <t>KR</t>
        </is>
      </c>
      <c r="C669" s="12" t="inlineStr">
        <is>
          <t>AR(1)</t>
        </is>
      </c>
      <c r="D669" s="13" t="n">
        <v>-0.0999999999999996</v>
      </c>
      <c r="E669" s="13" t="n">
        <v>0.0507003513201452</v>
      </c>
      <c r="F669" s="13" t="n">
        <v>2.8</v>
      </c>
      <c r="G669" s="13">
        <f>D669+F669</f>
        <v/>
      </c>
      <c r="H669" s="13">
        <f>E669+F669</f>
        <v/>
      </c>
      <c r="I669" s="13">
        <f>ABS(D669-E669)</f>
        <v/>
      </c>
      <c r="J669" s="13">
        <f>(D669-E669)^2</f>
        <v/>
      </c>
      <c r="K669" s="14">
        <f>IF(ABS(G669)&lt;=1E-8,"",ABS((G669-H669)/G669))</f>
        <v/>
      </c>
    </row>
    <row r="670">
      <c r="A670" s="11" t="n">
        <v>45351</v>
      </c>
      <c r="B670" s="12" t="inlineStr">
        <is>
          <t>US</t>
        </is>
      </c>
      <c r="C670" s="12" t="inlineStr">
        <is>
          <t>AR(1)</t>
        </is>
      </c>
      <c r="D670" s="13" t="n">
        <v>0.1999999999999997</v>
      </c>
      <c r="E670" s="13" t="n">
        <v>0.1330673693069567</v>
      </c>
      <c r="F670" s="13" t="n">
        <v>3.7</v>
      </c>
      <c r="G670" s="13">
        <f>D670+F670</f>
        <v/>
      </c>
      <c r="H670" s="13">
        <f>E670+F670</f>
        <v/>
      </c>
      <c r="I670" s="13">
        <f>ABS(D670-E670)</f>
        <v/>
      </c>
      <c r="J670" s="13">
        <f>(D670-E670)^2</f>
        <v/>
      </c>
      <c r="K670" s="14">
        <f>IF(ABS(G670)&lt;=1E-8,"",ABS((G670-H670)/G670))</f>
        <v/>
      </c>
    </row>
    <row r="671">
      <c r="A671" s="11" t="n">
        <v>45382</v>
      </c>
      <c r="B671" s="12" t="inlineStr">
        <is>
          <t>AU</t>
        </is>
      </c>
      <c r="C671" s="12" t="inlineStr">
        <is>
          <t>AR(1)</t>
        </is>
      </c>
      <c r="D671" s="13" t="n">
        <v>0.158709</v>
      </c>
      <c r="E671" s="13" t="n">
        <v>0.1064096525418066</v>
      </c>
      <c r="F671" s="13" t="n">
        <v>3.741341</v>
      </c>
      <c r="G671" s="13">
        <f>D671+F671</f>
        <v/>
      </c>
      <c r="H671" s="13">
        <f>E671+F671</f>
        <v/>
      </c>
      <c r="I671" s="13">
        <f>ABS(D671-E671)</f>
        <v/>
      </c>
      <c r="J671" s="13">
        <f>(D671-E671)^2</f>
        <v/>
      </c>
      <c r="K671" s="14">
        <f>IF(ABS(G671)&lt;=1E-8,"",ABS((G671-H671)/G671))</f>
        <v/>
      </c>
    </row>
    <row r="672">
      <c r="A672" s="11" t="n">
        <v>45382</v>
      </c>
      <c r="B672" s="12" t="inlineStr">
        <is>
          <t>CA</t>
        </is>
      </c>
      <c r="C672" s="12" t="inlineStr">
        <is>
          <t>AR(1)</t>
        </is>
      </c>
      <c r="D672" s="13" t="n">
        <v>0.1999999999999993</v>
      </c>
      <c r="E672" s="13" t="n">
        <v>0.0970904655974853</v>
      </c>
      <c r="F672" s="13" t="n">
        <v>5.9</v>
      </c>
      <c r="G672" s="13">
        <f>D672+F672</f>
        <v/>
      </c>
      <c r="H672" s="13">
        <f>E672+F672</f>
        <v/>
      </c>
      <c r="I672" s="13">
        <f>ABS(D672-E672)</f>
        <v/>
      </c>
      <c r="J672" s="13">
        <f>(D672-E672)^2</f>
        <v/>
      </c>
      <c r="K672" s="14">
        <f>IF(ABS(G672)&lt;=1E-8,"",ABS((G672-H672)/G672))</f>
        <v/>
      </c>
    </row>
    <row r="673">
      <c r="A673" s="11" t="n">
        <v>45382</v>
      </c>
      <c r="B673" s="12" t="inlineStr">
        <is>
          <t>DE</t>
        </is>
      </c>
      <c r="C673" s="12" t="inlineStr">
        <is>
          <t>AR(1)</t>
        </is>
      </c>
      <c r="D673" s="13" t="n">
        <v>0.0999999999999996</v>
      </c>
      <c r="E673" s="13" t="n">
        <v>0.013150596597821</v>
      </c>
      <c r="F673" s="13" t="n">
        <v>3.2</v>
      </c>
      <c r="G673" s="13">
        <f>D673+F673</f>
        <v/>
      </c>
      <c r="H673" s="13">
        <f>E673+F673</f>
        <v/>
      </c>
      <c r="I673" s="13">
        <f>ABS(D673-E673)</f>
        <v/>
      </c>
      <c r="J673" s="13">
        <f>(D673-E673)^2</f>
        <v/>
      </c>
      <c r="K673" s="14">
        <f>IF(ABS(G673)&lt;=1E-8,"",ABS((G673-H673)/G673))</f>
        <v/>
      </c>
    </row>
    <row r="674">
      <c r="A674" s="11" t="n">
        <v>45382</v>
      </c>
      <c r="B674" s="12" t="inlineStr">
        <is>
          <t>FR</t>
        </is>
      </c>
      <c r="C674" s="12" t="inlineStr">
        <is>
          <t>AR(1)</t>
        </is>
      </c>
      <c r="D674" s="13" t="n">
        <v>-0.0999999999999996</v>
      </c>
      <c r="E674" s="13" t="n">
        <v>0.0125933140380988</v>
      </c>
      <c r="F674" s="13" t="n">
        <v>7.5</v>
      </c>
      <c r="G674" s="13">
        <f>D674+F674</f>
        <v/>
      </c>
      <c r="H674" s="13">
        <f>E674+F674</f>
        <v/>
      </c>
      <c r="I674" s="13">
        <f>ABS(D674-E674)</f>
        <v/>
      </c>
      <c r="J674" s="13">
        <f>(D674-E674)^2</f>
        <v/>
      </c>
      <c r="K674" s="14">
        <f>IF(ABS(G674)&lt;=1E-8,"",ABS((G674-H674)/G674))</f>
        <v/>
      </c>
    </row>
    <row r="675">
      <c r="A675" s="11" t="n">
        <v>45382</v>
      </c>
      <c r="B675" s="12" t="inlineStr">
        <is>
          <t>GB</t>
        </is>
      </c>
      <c r="C675" s="12" t="inlineStr">
        <is>
          <t>AR(1)</t>
        </is>
      </c>
      <c r="D675" s="13" t="n">
        <v>0.1000000000000005</v>
      </c>
      <c r="E675" s="13" t="n">
        <v>-0.0065889068286875</v>
      </c>
      <c r="F675" s="13" t="n">
        <v>4.3</v>
      </c>
      <c r="G675" s="13">
        <f>D675+F675</f>
        <v/>
      </c>
      <c r="H675" s="13">
        <f>E675+F675</f>
        <v/>
      </c>
      <c r="I675" s="13">
        <f>ABS(D675-E675)</f>
        <v/>
      </c>
      <c r="J675" s="13">
        <f>(D675-E675)^2</f>
        <v/>
      </c>
      <c r="K675" s="14">
        <f>IF(ABS(G675)&lt;=1E-8,"",ABS((G675-H675)/G675))</f>
        <v/>
      </c>
    </row>
    <row r="676">
      <c r="A676" s="11" t="n">
        <v>45382</v>
      </c>
      <c r="B676" s="12" t="inlineStr">
        <is>
          <t>IT</t>
        </is>
      </c>
      <c r="C676" s="12" t="inlineStr">
        <is>
          <t>AR(1)</t>
        </is>
      </c>
      <c r="D676" s="13" t="n">
        <v>-0.3999999999999994</v>
      </c>
      <c r="E676" s="13" t="n">
        <v>0.1327015374404092</v>
      </c>
      <c r="F676" s="13" t="n">
        <v>7.3</v>
      </c>
      <c r="G676" s="13">
        <f>D676+F676</f>
        <v/>
      </c>
      <c r="H676" s="13">
        <f>E676+F676</f>
        <v/>
      </c>
      <c r="I676" s="13">
        <f>ABS(D676-E676)</f>
        <v/>
      </c>
      <c r="J676" s="13">
        <f>(D676-E676)^2</f>
        <v/>
      </c>
      <c r="K676" s="14">
        <f>IF(ABS(G676)&lt;=1E-8,"",ABS((G676-H676)/G676))</f>
        <v/>
      </c>
    </row>
    <row r="677">
      <c r="A677" s="11" t="n">
        <v>45382</v>
      </c>
      <c r="B677" s="12" t="inlineStr">
        <is>
          <t>JP</t>
        </is>
      </c>
      <c r="C677" s="12" t="inlineStr">
        <is>
          <t>AR(1)</t>
        </is>
      </c>
      <c r="D677" s="13" t="n">
        <v>0</v>
      </c>
      <c r="E677" s="13" t="n">
        <v>0.0064748575779695</v>
      </c>
      <c r="F677" s="13" t="n">
        <v>2.6</v>
      </c>
      <c r="G677" s="13">
        <f>D677+F677</f>
        <v/>
      </c>
      <c r="H677" s="13">
        <f>E677+F677</f>
        <v/>
      </c>
      <c r="I677" s="13">
        <f>ABS(D677-E677)</f>
        <v/>
      </c>
      <c r="J677" s="13">
        <f>(D677-E677)^2</f>
        <v/>
      </c>
      <c r="K677" s="14">
        <f>IF(ABS(G677)&lt;=1E-8,"",ABS((G677-H677)/G677))</f>
        <v/>
      </c>
    </row>
    <row r="678">
      <c r="A678" s="11" t="n">
        <v>45382</v>
      </c>
      <c r="B678" s="12" t="inlineStr">
        <is>
          <t>KR</t>
        </is>
      </c>
      <c r="C678" s="12" t="inlineStr">
        <is>
          <t>AR(1)</t>
        </is>
      </c>
      <c r="D678" s="13" t="n">
        <v>0.0999999999999996</v>
      </c>
      <c r="E678" s="13" t="n">
        <v>0.0607938085784363</v>
      </c>
      <c r="F678" s="13" t="n">
        <v>2.7</v>
      </c>
      <c r="G678" s="13">
        <f>D678+F678</f>
        <v/>
      </c>
      <c r="H678" s="13">
        <f>E678+F678</f>
        <v/>
      </c>
      <c r="I678" s="13">
        <f>ABS(D678-E678)</f>
        <v/>
      </c>
      <c r="J678" s="13">
        <f>(D678-E678)^2</f>
        <v/>
      </c>
      <c r="K678" s="14">
        <f>IF(ABS(G678)&lt;=1E-8,"",ABS((G678-H678)/G678))</f>
        <v/>
      </c>
    </row>
    <row r="679">
      <c r="A679" s="11" t="n">
        <v>45382</v>
      </c>
      <c r="B679" s="12" t="inlineStr">
        <is>
          <t>US</t>
        </is>
      </c>
      <c r="C679" s="12" t="inlineStr">
        <is>
          <t>AR(1)</t>
        </is>
      </c>
      <c r="D679" s="13" t="n">
        <v>0</v>
      </c>
      <c r="E679" s="13" t="n">
        <v>0.1165286468611709</v>
      </c>
      <c r="F679" s="13" t="n">
        <v>3.9</v>
      </c>
      <c r="G679" s="13">
        <f>D679+F679</f>
        <v/>
      </c>
      <c r="H679" s="13">
        <f>E679+F679</f>
        <v/>
      </c>
      <c r="I679" s="13">
        <f>ABS(D679-E679)</f>
        <v/>
      </c>
      <c r="J679" s="13">
        <f>(D679-E679)^2</f>
        <v/>
      </c>
      <c r="K679" s="14">
        <f>IF(ABS(G679)&lt;=1E-8,"",ABS((G679-H679)/G679))</f>
        <v/>
      </c>
    </row>
    <row r="680">
      <c r="A680" s="11" t="n">
        <v>45412</v>
      </c>
      <c r="B680" s="12" t="inlineStr">
        <is>
          <t>AU</t>
        </is>
      </c>
      <c r="C680" s="12" t="inlineStr">
        <is>
          <t>AR(1)</t>
        </is>
      </c>
      <c r="D680" s="13" t="n">
        <v>0.1814180000000003</v>
      </c>
      <c r="E680" s="13" t="n">
        <v>0.085954371046946</v>
      </c>
      <c r="F680" s="13" t="n">
        <v>3.90005</v>
      </c>
      <c r="G680" s="13">
        <f>D680+F680</f>
        <v/>
      </c>
      <c r="H680" s="13">
        <f>E680+F680</f>
        <v/>
      </c>
      <c r="I680" s="13">
        <f>ABS(D680-E680)</f>
        <v/>
      </c>
      <c r="J680" s="13">
        <f>(D680-E680)^2</f>
        <v/>
      </c>
      <c r="K680" s="14">
        <f>IF(ABS(G680)&lt;=1E-8,"",ABS((G680-H680)/G680))</f>
        <v/>
      </c>
    </row>
    <row r="681">
      <c r="A681" s="11" t="n">
        <v>45412</v>
      </c>
      <c r="B681" s="12" t="inlineStr">
        <is>
          <t>CA</t>
        </is>
      </c>
      <c r="C681" s="12" t="inlineStr">
        <is>
          <t>AR(1)</t>
        </is>
      </c>
      <c r="D681" s="13" t="n">
        <v>0.1000000000000005</v>
      </c>
      <c r="E681" s="13" t="n">
        <v>0.0768250674612137</v>
      </c>
      <c r="F681" s="13" t="n">
        <v>6.1</v>
      </c>
      <c r="G681" s="13">
        <f>D681+F681</f>
        <v/>
      </c>
      <c r="H681" s="13">
        <f>E681+F681</f>
        <v/>
      </c>
      <c r="I681" s="13">
        <f>ABS(D681-E681)</f>
        <v/>
      </c>
      <c r="J681" s="13">
        <f>(D681-E681)^2</f>
        <v/>
      </c>
      <c r="K681" s="14">
        <f>IF(ABS(G681)&lt;=1E-8,"",ABS((G681-H681)/G681))</f>
        <v/>
      </c>
    </row>
    <row r="682">
      <c r="A682" s="11" t="n">
        <v>45412</v>
      </c>
      <c r="B682" s="12" t="inlineStr">
        <is>
          <t>DE</t>
        </is>
      </c>
      <c r="C682" s="12" t="inlineStr">
        <is>
          <t>AR(1)</t>
        </is>
      </c>
      <c r="D682" s="13" t="n">
        <v>0.1</v>
      </c>
      <c r="E682" s="13" t="n">
        <v>0.0034343309545241</v>
      </c>
      <c r="F682" s="13" t="n">
        <v>3.3</v>
      </c>
      <c r="G682" s="13">
        <f>D682+F682</f>
        <v/>
      </c>
      <c r="H682" s="13">
        <f>E682+F682</f>
        <v/>
      </c>
      <c r="I682" s="13">
        <f>ABS(D682-E682)</f>
        <v/>
      </c>
      <c r="J682" s="13">
        <f>(D682-E682)^2</f>
        <v/>
      </c>
      <c r="K682" s="14">
        <f>IF(ABS(G682)&lt;=1E-8,"",ABS((G682-H682)/G682))</f>
        <v/>
      </c>
    </row>
    <row r="683">
      <c r="A683" s="11" t="n">
        <v>45412</v>
      </c>
      <c r="B683" s="12" t="inlineStr">
        <is>
          <t>FR</t>
        </is>
      </c>
      <c r="C683" s="12" t="inlineStr">
        <is>
          <t>AR(1)</t>
        </is>
      </c>
      <c r="D683" s="13" t="n">
        <v>0</v>
      </c>
      <c r="E683" s="13" t="n">
        <v>0.0202149802998176</v>
      </c>
      <c r="F683" s="13" t="n">
        <v>7.4</v>
      </c>
      <c r="G683" s="13">
        <f>D683+F683</f>
        <v/>
      </c>
      <c r="H683" s="13">
        <f>E683+F683</f>
        <v/>
      </c>
      <c r="I683" s="13">
        <f>ABS(D683-E683)</f>
        <v/>
      </c>
      <c r="J683" s="13">
        <f>(D683-E683)^2</f>
        <v/>
      </c>
      <c r="K683" s="14">
        <f>IF(ABS(G683)&lt;=1E-8,"",ABS((G683-H683)/G683))</f>
        <v/>
      </c>
    </row>
    <row r="684">
      <c r="A684" s="11" t="n">
        <v>45412</v>
      </c>
      <c r="B684" s="12" t="inlineStr">
        <is>
          <t>GB</t>
        </is>
      </c>
      <c r="C684" s="12" t="inlineStr">
        <is>
          <t>AR(1)</t>
        </is>
      </c>
      <c r="D684" s="13" t="n">
        <v>0</v>
      </c>
      <c r="E684" s="13" t="n">
        <v>-0.0156378306196701</v>
      </c>
      <c r="F684" s="13" t="n">
        <v>4.4</v>
      </c>
      <c r="G684" s="13">
        <f>D684+F684</f>
        <v/>
      </c>
      <c r="H684" s="13">
        <f>E684+F684</f>
        <v/>
      </c>
      <c r="I684" s="13">
        <f>ABS(D684-E684)</f>
        <v/>
      </c>
      <c r="J684" s="13">
        <f>(D684-E684)^2</f>
        <v/>
      </c>
      <c r="K684" s="14">
        <f>IF(ABS(G684)&lt;=1E-8,"",ABS((G684-H684)/G684))</f>
        <v/>
      </c>
    </row>
    <row r="685">
      <c r="A685" s="11" t="n">
        <v>45412</v>
      </c>
      <c r="B685" s="12" t="inlineStr">
        <is>
          <t>IT</t>
        </is>
      </c>
      <c r="C685" s="12" t="inlineStr">
        <is>
          <t>AR(1)</t>
        </is>
      </c>
      <c r="D685" s="13" t="n">
        <v>-0.1000000000000005</v>
      </c>
      <c r="E685" s="13" t="n">
        <v>0.1696735080258131</v>
      </c>
      <c r="F685" s="13" t="n">
        <v>6.9</v>
      </c>
      <c r="G685" s="13">
        <f>D685+F685</f>
        <v/>
      </c>
      <c r="H685" s="13">
        <f>E685+F685</f>
        <v/>
      </c>
      <c r="I685" s="13">
        <f>ABS(D685-E685)</f>
        <v/>
      </c>
      <c r="J685" s="13">
        <f>(D685-E685)^2</f>
        <v/>
      </c>
      <c r="K685" s="14">
        <f>IF(ABS(G685)&lt;=1E-8,"",ABS((G685-H685)/G685))</f>
        <v/>
      </c>
    </row>
    <row r="686">
      <c r="A686" s="11" t="n">
        <v>45412</v>
      </c>
      <c r="B686" s="12" t="inlineStr">
        <is>
          <t>JP</t>
        </is>
      </c>
      <c r="C686" s="12" t="inlineStr">
        <is>
          <t>AR(1)</t>
        </is>
      </c>
      <c r="D686" s="13" t="n">
        <v>0</v>
      </c>
      <c r="E686" s="13" t="n">
        <v>0.0051894220189877</v>
      </c>
      <c r="F686" s="13" t="n">
        <v>2.6</v>
      </c>
      <c r="G686" s="13">
        <f>D686+F686</f>
        <v/>
      </c>
      <c r="H686" s="13">
        <f>E686+F686</f>
        <v/>
      </c>
      <c r="I686" s="13">
        <f>ABS(D686-E686)</f>
        <v/>
      </c>
      <c r="J686" s="13">
        <f>(D686-E686)^2</f>
        <v/>
      </c>
      <c r="K686" s="14">
        <f>IF(ABS(G686)&lt;=1E-8,"",ABS((G686-H686)/G686))</f>
        <v/>
      </c>
    </row>
    <row r="687">
      <c r="A687" s="11" t="n">
        <v>45412</v>
      </c>
      <c r="B687" s="12" t="inlineStr">
        <is>
          <t>KR</t>
        </is>
      </c>
      <c r="C687" s="12" t="inlineStr">
        <is>
          <t>AR(1)</t>
        </is>
      </c>
      <c r="D687" s="13" t="n">
        <v>0</v>
      </c>
      <c r="E687" s="13" t="n">
        <v>0.0483085987205895</v>
      </c>
      <c r="F687" s="13" t="n">
        <v>2.8</v>
      </c>
      <c r="G687" s="13">
        <f>D687+F687</f>
        <v/>
      </c>
      <c r="H687" s="13">
        <f>E687+F687</f>
        <v/>
      </c>
      <c r="I687" s="13">
        <f>ABS(D687-E687)</f>
        <v/>
      </c>
      <c r="J687" s="13">
        <f>(D687-E687)^2</f>
        <v/>
      </c>
      <c r="K687" s="14">
        <f>IF(ABS(G687)&lt;=1E-8,"",ABS((G687-H687)/G687))</f>
        <v/>
      </c>
    </row>
    <row r="688">
      <c r="A688" s="11" t="n">
        <v>45412</v>
      </c>
      <c r="B688" s="12" t="inlineStr">
        <is>
          <t>US</t>
        </is>
      </c>
      <c r="C688" s="12" t="inlineStr">
        <is>
          <t>AR(1)</t>
        </is>
      </c>
      <c r="D688" s="13" t="n">
        <v>0</v>
      </c>
      <c r="E688" s="13" t="n">
        <v>0.1163519242477873</v>
      </c>
      <c r="F688" s="13" t="n">
        <v>3.9</v>
      </c>
      <c r="G688" s="13">
        <f>D688+F688</f>
        <v/>
      </c>
      <c r="H688" s="13">
        <f>E688+F688</f>
        <v/>
      </c>
      <c r="I688" s="13">
        <f>ABS(D688-E688)</f>
        <v/>
      </c>
      <c r="J688" s="13">
        <f>(D688-E688)^2</f>
        <v/>
      </c>
      <c r="K688" s="14">
        <f>IF(ABS(G688)&lt;=1E-8,"",ABS((G688-H688)/G688))</f>
        <v/>
      </c>
    </row>
    <row r="689">
      <c r="A689" s="11" t="n">
        <v>45443</v>
      </c>
      <c r="B689" s="12" t="inlineStr">
        <is>
          <t>AU</t>
        </is>
      </c>
      <c r="C689" s="12" t="inlineStr">
        <is>
          <t>AR(1)</t>
        </is>
      </c>
      <c r="D689" s="13" t="n">
        <v>-0.07635600000000051</v>
      </c>
      <c r="E689" s="13" t="n">
        <v>0.06376302998889009</v>
      </c>
      <c r="F689" s="13" t="n">
        <v>4.081468</v>
      </c>
      <c r="G689" s="13">
        <f>D689+F689</f>
        <v/>
      </c>
      <c r="H689" s="13">
        <f>E689+F689</f>
        <v/>
      </c>
      <c r="I689" s="13">
        <f>ABS(D689-E689)</f>
        <v/>
      </c>
      <c r="J689" s="13">
        <f>(D689-E689)^2</f>
        <v/>
      </c>
      <c r="K689" s="14">
        <f>IF(ABS(G689)&lt;=1E-8,"",ABS((G689-H689)/G689))</f>
        <v/>
      </c>
    </row>
    <row r="690">
      <c r="A690" s="11" t="n">
        <v>45443</v>
      </c>
      <c r="B690" s="12" t="inlineStr">
        <is>
          <t>CA</t>
        </is>
      </c>
      <c r="C690" s="12" t="inlineStr">
        <is>
          <t>AR(1)</t>
        </is>
      </c>
      <c r="D690" s="13" t="n">
        <v>0.0999999999999996</v>
      </c>
      <c r="E690" s="13" t="n">
        <v>0.0694405835644293</v>
      </c>
      <c r="F690" s="13" t="n">
        <v>6.2</v>
      </c>
      <c r="G690" s="13">
        <f>D690+F690</f>
        <v/>
      </c>
      <c r="H690" s="13">
        <f>E690+F690</f>
        <v/>
      </c>
      <c r="I690" s="13">
        <f>ABS(D690-E690)</f>
        <v/>
      </c>
      <c r="J690" s="13">
        <f>(D690-E690)^2</f>
        <v/>
      </c>
      <c r="K690" s="14">
        <f>IF(ABS(G690)&lt;=1E-8,"",ABS((G690-H690)/G690))</f>
        <v/>
      </c>
    </row>
    <row r="691">
      <c r="A691" s="11" t="n">
        <v>45443</v>
      </c>
      <c r="B691" s="12" t="inlineStr">
        <is>
          <t>DE</t>
        </is>
      </c>
      <c r="C691" s="12" t="inlineStr">
        <is>
          <t>AR(1)</t>
        </is>
      </c>
      <c r="D691" s="13" t="n">
        <v>0</v>
      </c>
      <c r="E691" s="13" t="n">
        <v>-0.0044794771989932</v>
      </c>
      <c r="F691" s="13" t="n">
        <v>3.4</v>
      </c>
      <c r="G691" s="13">
        <f>D691+F691</f>
        <v/>
      </c>
      <c r="H691" s="13">
        <f>E691+F691</f>
        <v/>
      </c>
      <c r="I691" s="13">
        <f>ABS(D691-E691)</f>
        <v/>
      </c>
      <c r="J691" s="13">
        <f>(D691-E691)^2</f>
        <v/>
      </c>
      <c r="K691" s="14">
        <f>IF(ABS(G691)&lt;=1E-8,"",ABS((G691-H691)/G691))</f>
        <v/>
      </c>
    </row>
    <row r="692">
      <c r="A692" s="11" t="n">
        <v>45443</v>
      </c>
      <c r="B692" s="12" t="inlineStr">
        <is>
          <t>FR</t>
        </is>
      </c>
      <c r="C692" s="12" t="inlineStr">
        <is>
          <t>AR(1)</t>
        </is>
      </c>
      <c r="D692" s="13" t="n">
        <v>0</v>
      </c>
      <c r="E692" s="13" t="n">
        <v>0.0212878192358607</v>
      </c>
      <c r="F692" s="13" t="n">
        <v>7.4</v>
      </c>
      <c r="G692" s="13">
        <f>D692+F692</f>
        <v/>
      </c>
      <c r="H692" s="13">
        <f>E692+F692</f>
        <v/>
      </c>
      <c r="I692" s="13">
        <f>ABS(D692-E692)</f>
        <v/>
      </c>
      <c r="J692" s="13">
        <f>(D692-E692)^2</f>
        <v/>
      </c>
      <c r="K692" s="14">
        <f>IF(ABS(G692)&lt;=1E-8,"",ABS((G692-H692)/G692))</f>
        <v/>
      </c>
    </row>
    <row r="693">
      <c r="A693" s="11" t="n">
        <v>45443</v>
      </c>
      <c r="B693" s="12" t="inlineStr">
        <is>
          <t>GB</t>
        </is>
      </c>
      <c r="C693" s="12" t="inlineStr">
        <is>
          <t>AR(1)</t>
        </is>
      </c>
      <c r="D693" s="13" t="n">
        <v>-0.2000000000000001</v>
      </c>
      <c r="E693" s="13" t="n">
        <v>-0.0146400202544741</v>
      </c>
      <c r="F693" s="13" t="n">
        <v>4.4</v>
      </c>
      <c r="G693" s="13">
        <f>D693+F693</f>
        <v/>
      </c>
      <c r="H693" s="13">
        <f>E693+F693</f>
        <v/>
      </c>
      <c r="I693" s="13">
        <f>ABS(D693-E693)</f>
        <v/>
      </c>
      <c r="J693" s="13">
        <f>(D693-E693)^2</f>
        <v/>
      </c>
      <c r="K693" s="14">
        <f>IF(ABS(G693)&lt;=1E-8,"",ABS((G693-H693)/G693))</f>
        <v/>
      </c>
    </row>
    <row r="694">
      <c r="A694" s="11" t="n">
        <v>45443</v>
      </c>
      <c r="B694" s="12" t="inlineStr">
        <is>
          <t>IT</t>
        </is>
      </c>
      <c r="C694" s="12" t="inlineStr">
        <is>
          <t>AR(1)</t>
        </is>
      </c>
      <c r="D694" s="13" t="n">
        <v>-0.2999999999999998</v>
      </c>
      <c r="E694" s="13" t="n">
        <v>0.1716161903920569</v>
      </c>
      <c r="F694" s="13" t="n">
        <v>6.8</v>
      </c>
      <c r="G694" s="13">
        <f>D694+F694</f>
        <v/>
      </c>
      <c r="H694" s="13">
        <f>E694+F694</f>
        <v/>
      </c>
      <c r="I694" s="13">
        <f>ABS(D694-E694)</f>
        <v/>
      </c>
      <c r="J694" s="13">
        <f>(D694-E694)^2</f>
        <v/>
      </c>
      <c r="K694" s="14">
        <f>IF(ABS(G694)&lt;=1E-8,"",ABS((G694-H694)/G694))</f>
        <v/>
      </c>
    </row>
    <row r="695">
      <c r="A695" s="11" t="n">
        <v>45443</v>
      </c>
      <c r="B695" s="12" t="inlineStr">
        <is>
          <t>JP</t>
        </is>
      </c>
      <c r="C695" s="12" t="inlineStr">
        <is>
          <t>AR(1)</t>
        </is>
      </c>
      <c r="D695" s="13" t="n">
        <v>0</v>
      </c>
      <c r="E695" s="13" t="n">
        <v>0.0070786164120133</v>
      </c>
      <c r="F695" s="13" t="n">
        <v>2.6</v>
      </c>
      <c r="G695" s="13">
        <f>D695+F695</f>
        <v/>
      </c>
      <c r="H695" s="13">
        <f>E695+F695</f>
        <v/>
      </c>
      <c r="I695" s="13">
        <f>ABS(D695-E695)</f>
        <v/>
      </c>
      <c r="J695" s="13">
        <f>(D695-E695)^2</f>
        <v/>
      </c>
      <c r="K695" s="14">
        <f>IF(ABS(G695)&lt;=1E-8,"",ABS((G695-H695)/G695))</f>
        <v/>
      </c>
    </row>
    <row r="696">
      <c r="A696" s="11" t="n">
        <v>45443</v>
      </c>
      <c r="B696" s="12" t="inlineStr">
        <is>
          <t>KR</t>
        </is>
      </c>
      <c r="C696" s="12" t="inlineStr">
        <is>
          <t>AR(1)</t>
        </is>
      </c>
      <c r="D696" s="13" t="n">
        <v>0</v>
      </c>
      <c r="E696" s="13" t="n">
        <v>0.0434726921755255</v>
      </c>
      <c r="F696" s="13" t="n">
        <v>2.8</v>
      </c>
      <c r="G696" s="13">
        <f>D696+F696</f>
        <v/>
      </c>
      <c r="H696" s="13">
        <f>E696+F696</f>
        <v/>
      </c>
      <c r="I696" s="13">
        <f>ABS(D696-E696)</f>
        <v/>
      </c>
      <c r="J696" s="13">
        <f>(D696-E696)^2</f>
        <v/>
      </c>
      <c r="K696" s="14">
        <f>IF(ABS(G696)&lt;=1E-8,"",ABS((G696-H696)/G696))</f>
        <v/>
      </c>
    </row>
    <row r="697">
      <c r="A697" s="11" t="n">
        <v>45443</v>
      </c>
      <c r="B697" s="12" t="inlineStr">
        <is>
          <t>US</t>
        </is>
      </c>
      <c r="C697" s="12" t="inlineStr">
        <is>
          <t>AR(1)</t>
        </is>
      </c>
      <c r="D697" s="13" t="n">
        <v>0</v>
      </c>
      <c r="E697" s="13" t="n">
        <v>0.119042868448344</v>
      </c>
      <c r="F697" s="13" t="n">
        <v>3.9</v>
      </c>
      <c r="G697" s="13">
        <f>D697+F697</f>
        <v/>
      </c>
      <c r="H697" s="13">
        <f>E697+F697</f>
        <v/>
      </c>
      <c r="I697" s="13">
        <f>ABS(D697-E697)</f>
        <v/>
      </c>
      <c r="J697" s="13">
        <f>(D697-E697)^2</f>
        <v/>
      </c>
      <c r="K697" s="14">
        <f>IF(ABS(G697)&lt;=1E-8,"",ABS((G697-H697)/G697))</f>
        <v/>
      </c>
    </row>
    <row r="698">
      <c r="A698" s="11" t="n">
        <v>45473</v>
      </c>
      <c r="B698" s="12" t="inlineStr">
        <is>
          <t>AU</t>
        </is>
      </c>
      <c r="C698" s="12" t="inlineStr">
        <is>
          <t>AR(1)</t>
        </is>
      </c>
      <c r="D698" s="13" t="n">
        <v>0.0282750000000007</v>
      </c>
      <c r="E698" s="13" t="n">
        <v>0.06904984381973051</v>
      </c>
      <c r="F698" s="13" t="n">
        <v>4.005112</v>
      </c>
      <c r="G698" s="13">
        <f>D698+F698</f>
        <v/>
      </c>
      <c r="H698" s="13">
        <f>E698+F698</f>
        <v/>
      </c>
      <c r="I698" s="13">
        <f>ABS(D698-E698)</f>
        <v/>
      </c>
      <c r="J698" s="13">
        <f>(D698-E698)^2</f>
        <v/>
      </c>
      <c r="K698" s="14">
        <f>IF(ABS(G698)&lt;=1E-8,"",ABS((G698-H698)/G698))</f>
        <v/>
      </c>
    </row>
    <row r="699">
      <c r="A699" s="11" t="n">
        <v>45473</v>
      </c>
      <c r="B699" s="12" t="inlineStr">
        <is>
          <t>CA</t>
        </is>
      </c>
      <c r="C699" s="12" t="inlineStr">
        <is>
          <t>AR(1)</t>
        </is>
      </c>
      <c r="D699" s="13" t="n">
        <v>0.1000000000000005</v>
      </c>
      <c r="E699" s="13" t="n">
        <v>0.06326326162865301</v>
      </c>
      <c r="F699" s="13" t="n">
        <v>6.3</v>
      </c>
      <c r="G699" s="13">
        <f>D699+F699</f>
        <v/>
      </c>
      <c r="H699" s="13">
        <f>E699+F699</f>
        <v/>
      </c>
      <c r="I699" s="13">
        <f>ABS(D699-E699)</f>
        <v/>
      </c>
      <c r="J699" s="13">
        <f>(D699-E699)^2</f>
        <v/>
      </c>
      <c r="K699" s="14">
        <f>IF(ABS(G699)&lt;=1E-8,"",ABS((G699-H699)/G699))</f>
        <v/>
      </c>
    </row>
    <row r="700">
      <c r="A700" s="11" t="n">
        <v>45473</v>
      </c>
      <c r="B700" s="12" t="inlineStr">
        <is>
          <t>DE</t>
        </is>
      </c>
      <c r="C700" s="12" t="inlineStr">
        <is>
          <t>AR(1)</t>
        </is>
      </c>
      <c r="D700" s="13" t="n">
        <v>0</v>
      </c>
      <c r="E700" s="13" t="n">
        <v>-0.0034148850890945</v>
      </c>
      <c r="F700" s="13" t="n">
        <v>3.4</v>
      </c>
      <c r="G700" s="13">
        <f>D700+F700</f>
        <v/>
      </c>
      <c r="H700" s="13">
        <f>E700+F700</f>
        <v/>
      </c>
      <c r="I700" s="13">
        <f>ABS(D700-E700)</f>
        <v/>
      </c>
      <c r="J700" s="13">
        <f>(D700-E700)^2</f>
        <v/>
      </c>
      <c r="K700" s="14">
        <f>IF(ABS(G700)&lt;=1E-8,"",ABS((G700-H700)/G700))</f>
        <v/>
      </c>
    </row>
    <row r="701">
      <c r="A701" s="11" t="n">
        <v>45473</v>
      </c>
      <c r="B701" s="12" t="inlineStr">
        <is>
          <t>FR</t>
        </is>
      </c>
      <c r="C701" s="12" t="inlineStr">
        <is>
          <t>AR(1)</t>
        </is>
      </c>
      <c r="D701" s="13" t="n">
        <v>0.0999999999999996</v>
      </c>
      <c r="E701" s="13" t="n">
        <v>0.0188693583376893</v>
      </c>
      <c r="F701" s="13" t="n">
        <v>7.4</v>
      </c>
      <c r="G701" s="13">
        <f>D701+F701</f>
        <v/>
      </c>
      <c r="H701" s="13">
        <f>E701+F701</f>
        <v/>
      </c>
      <c r="I701" s="13">
        <f>ABS(D701-E701)</f>
        <v/>
      </c>
      <c r="J701" s="13">
        <f>(D701-E701)^2</f>
        <v/>
      </c>
      <c r="K701" s="14">
        <f>IF(ABS(G701)&lt;=1E-8,"",ABS((G701-H701)/G701))</f>
        <v/>
      </c>
    </row>
    <row r="702">
      <c r="A702" s="11" t="n">
        <v>45473</v>
      </c>
      <c r="B702" s="12" t="inlineStr">
        <is>
          <t>GB</t>
        </is>
      </c>
      <c r="C702" s="12" t="inlineStr">
        <is>
          <t>AR(1)</t>
        </is>
      </c>
      <c r="D702" s="13" t="n">
        <v>0</v>
      </c>
      <c r="E702" s="13" t="n">
        <v>0.0051958036403739</v>
      </c>
      <c r="F702" s="13" t="n">
        <v>4.2</v>
      </c>
      <c r="G702" s="13">
        <f>D702+F702</f>
        <v/>
      </c>
      <c r="H702" s="13">
        <f>E702+F702</f>
        <v/>
      </c>
      <c r="I702" s="13">
        <f>ABS(D702-E702)</f>
        <v/>
      </c>
      <c r="J702" s="13">
        <f>(D702-E702)^2</f>
        <v/>
      </c>
      <c r="K702" s="14">
        <f>IF(ABS(G702)&lt;=1E-8,"",ABS((G702-H702)/G702))</f>
        <v/>
      </c>
    </row>
    <row r="703">
      <c r="A703" s="11" t="n">
        <v>45473</v>
      </c>
      <c r="B703" s="12" t="inlineStr">
        <is>
          <t>IT</t>
        </is>
      </c>
      <c r="C703" s="12" t="inlineStr">
        <is>
          <t>AR(1)</t>
        </is>
      </c>
      <c r="D703" s="13" t="n">
        <v>0.2000000000000001</v>
      </c>
      <c r="E703" s="13" t="n">
        <v>0.1999316683197131</v>
      </c>
      <c r="F703" s="13" t="n">
        <v>6.5</v>
      </c>
      <c r="G703" s="13">
        <f>D703+F703</f>
        <v/>
      </c>
      <c r="H703" s="13">
        <f>E703+F703</f>
        <v/>
      </c>
      <c r="I703" s="13">
        <f>ABS(D703-E703)</f>
        <v/>
      </c>
      <c r="J703" s="13">
        <f>(D703-E703)^2</f>
        <v/>
      </c>
      <c r="K703" s="14">
        <f>IF(ABS(G703)&lt;=1E-8,"",ABS((G703-H703)/G703))</f>
        <v/>
      </c>
    </row>
    <row r="704">
      <c r="A704" s="11" t="n">
        <v>45473</v>
      </c>
      <c r="B704" s="12" t="inlineStr">
        <is>
          <t>JP</t>
        </is>
      </c>
      <c r="C704" s="12" t="inlineStr">
        <is>
          <t>AR(1)</t>
        </is>
      </c>
      <c r="D704" s="13" t="n">
        <v>-0.1</v>
      </c>
      <c r="E704" s="13" t="n">
        <v>0.009111876447849899</v>
      </c>
      <c r="F704" s="13" t="n">
        <v>2.6</v>
      </c>
      <c r="G704" s="13">
        <f>D704+F704</f>
        <v/>
      </c>
      <c r="H704" s="13">
        <f>E704+F704</f>
        <v/>
      </c>
      <c r="I704" s="13">
        <f>ABS(D704-E704)</f>
        <v/>
      </c>
      <c r="J704" s="13">
        <f>(D704-E704)^2</f>
        <v/>
      </c>
      <c r="K704" s="14">
        <f>IF(ABS(G704)&lt;=1E-8,"",ABS((G704-H704)/G704))</f>
        <v/>
      </c>
    </row>
    <row r="705">
      <c r="A705" s="11" t="n">
        <v>45473</v>
      </c>
      <c r="B705" s="12" t="inlineStr">
        <is>
          <t>KR</t>
        </is>
      </c>
      <c r="C705" s="12" t="inlineStr">
        <is>
          <t>AR(1)</t>
        </is>
      </c>
      <c r="D705" s="13" t="n">
        <v>0</v>
      </c>
      <c r="E705" s="13" t="n">
        <v>0.0440324618492126</v>
      </c>
      <c r="F705" s="13" t="n">
        <v>2.8</v>
      </c>
      <c r="G705" s="13">
        <f>D705+F705</f>
        <v/>
      </c>
      <c r="H705" s="13">
        <f>E705+F705</f>
        <v/>
      </c>
      <c r="I705" s="13">
        <f>ABS(D705-E705)</f>
        <v/>
      </c>
      <c r="J705" s="13">
        <f>(D705-E705)^2</f>
        <v/>
      </c>
      <c r="K705" s="14">
        <f>IF(ABS(G705)&lt;=1E-8,"",ABS((G705-H705)/G705))</f>
        <v/>
      </c>
    </row>
    <row r="706">
      <c r="A706" s="11" t="n">
        <v>45473</v>
      </c>
      <c r="B706" s="12" t="inlineStr">
        <is>
          <t>US</t>
        </is>
      </c>
      <c r="C706" s="12" t="inlineStr">
        <is>
          <t>AR(1)</t>
        </is>
      </c>
      <c r="D706" s="13" t="n">
        <v>0.1999999999999997</v>
      </c>
      <c r="E706" s="13" t="n">
        <v>0.1203283441801703</v>
      </c>
      <c r="F706" s="13" t="n">
        <v>3.9</v>
      </c>
      <c r="G706" s="13">
        <f>D706+F706</f>
        <v/>
      </c>
      <c r="H706" s="13">
        <f>E706+F706</f>
        <v/>
      </c>
      <c r="I706" s="13">
        <f>ABS(D706-E706)</f>
        <v/>
      </c>
      <c r="J706" s="13">
        <f>(D706-E706)^2</f>
        <v/>
      </c>
      <c r="K706" s="14">
        <f>IF(ABS(G706)&lt;=1E-8,"",ABS((G706-H706)/G706))</f>
        <v/>
      </c>
    </row>
    <row r="707">
      <c r="A707" s="11" t="n">
        <v>45504</v>
      </c>
      <c r="B707" s="12" t="inlineStr">
        <is>
          <t>AU</t>
        </is>
      </c>
      <c r="C707" s="12" t="inlineStr">
        <is>
          <t>AR(1)</t>
        </is>
      </c>
      <c r="D707" s="13" t="n">
        <v>0.1585450000000001</v>
      </c>
      <c r="E707" s="13" t="n">
        <v>0.0631487710342046</v>
      </c>
      <c r="F707" s="13" t="n">
        <v>4.033387</v>
      </c>
      <c r="G707" s="13">
        <f>D707+F707</f>
        <v/>
      </c>
      <c r="H707" s="13">
        <f>E707+F707</f>
        <v/>
      </c>
      <c r="I707" s="13">
        <f>ABS(D707-E707)</f>
        <v/>
      </c>
      <c r="J707" s="13">
        <f>(D707-E707)^2</f>
        <v/>
      </c>
      <c r="K707" s="14">
        <f>IF(ABS(G707)&lt;=1E-8,"",ABS((G707-H707)/G707))</f>
        <v/>
      </c>
    </row>
    <row r="708">
      <c r="A708" s="11" t="n">
        <v>45504</v>
      </c>
      <c r="B708" s="12" t="inlineStr">
        <is>
          <t>CA</t>
        </is>
      </c>
      <c r="C708" s="12" t="inlineStr">
        <is>
          <t>AR(1)</t>
        </is>
      </c>
      <c r="D708" s="13" t="n">
        <v>0</v>
      </c>
      <c r="E708" s="13" t="n">
        <v>0.0532337275628382</v>
      </c>
      <c r="F708" s="13" t="n">
        <v>6.4</v>
      </c>
      <c r="G708" s="13">
        <f>D708+F708</f>
        <v/>
      </c>
      <c r="H708" s="13">
        <f>E708+F708</f>
        <v/>
      </c>
      <c r="I708" s="13">
        <f>ABS(D708-E708)</f>
        <v/>
      </c>
      <c r="J708" s="13">
        <f>(D708-E708)^2</f>
        <v/>
      </c>
      <c r="K708" s="14">
        <f>IF(ABS(G708)&lt;=1E-8,"",ABS((G708-H708)/G708))</f>
        <v/>
      </c>
    </row>
    <row r="709">
      <c r="A709" s="11" t="n">
        <v>45504</v>
      </c>
      <c r="B709" s="12" t="inlineStr">
        <is>
          <t>DE</t>
        </is>
      </c>
      <c r="C709" s="12" t="inlineStr">
        <is>
          <t>AR(1)</t>
        </is>
      </c>
      <c r="D709" s="13" t="n">
        <v>0</v>
      </c>
      <c r="E709" s="13" t="n">
        <v>-0.0024771183052024</v>
      </c>
      <c r="F709" s="13" t="n">
        <v>3.4</v>
      </c>
      <c r="G709" s="13">
        <f>D709+F709</f>
        <v/>
      </c>
      <c r="H709" s="13">
        <f>E709+F709</f>
        <v/>
      </c>
      <c r="I709" s="13">
        <f>ABS(D709-E709)</f>
        <v/>
      </c>
      <c r="J709" s="13">
        <f>(D709-E709)^2</f>
        <v/>
      </c>
      <c r="K709" s="14">
        <f>IF(ABS(G709)&lt;=1E-8,"",ABS((G709-H709)/G709))</f>
        <v/>
      </c>
    </row>
    <row r="710">
      <c r="A710" s="11" t="n">
        <v>45504</v>
      </c>
      <c r="B710" s="12" t="inlineStr">
        <is>
          <t>FR</t>
        </is>
      </c>
      <c r="C710" s="12" t="inlineStr">
        <is>
          <t>AR(1)</t>
        </is>
      </c>
      <c r="D710" s="13" t="n">
        <v>0</v>
      </c>
      <c r="E710" s="13" t="n">
        <v>0.0067232196058018</v>
      </c>
      <c r="F710" s="13" t="n">
        <v>7.5</v>
      </c>
      <c r="G710" s="13">
        <f>D710+F710</f>
        <v/>
      </c>
      <c r="H710" s="13">
        <f>E710+F710</f>
        <v/>
      </c>
      <c r="I710" s="13">
        <f>ABS(D710-E710)</f>
        <v/>
      </c>
      <c r="J710" s="13">
        <f>(D710-E710)^2</f>
        <v/>
      </c>
      <c r="K710" s="14">
        <f>IF(ABS(G710)&lt;=1E-8,"",ABS((G710-H710)/G710))</f>
        <v/>
      </c>
    </row>
    <row r="711">
      <c r="A711" s="11" t="n">
        <v>45504</v>
      </c>
      <c r="B711" s="12" t="inlineStr">
        <is>
          <t>GB</t>
        </is>
      </c>
      <c r="C711" s="12" t="inlineStr">
        <is>
          <t>AR(1)</t>
        </is>
      </c>
      <c r="D711" s="13" t="n">
        <v>-0.1000000000000005</v>
      </c>
      <c r="E711" s="13" t="n">
        <v>0.0057862146646207</v>
      </c>
      <c r="F711" s="13" t="n">
        <v>4.2</v>
      </c>
      <c r="G711" s="13">
        <f>D711+F711</f>
        <v/>
      </c>
      <c r="H711" s="13">
        <f>E711+F711</f>
        <v/>
      </c>
      <c r="I711" s="13">
        <f>ABS(D711-E711)</f>
        <v/>
      </c>
      <c r="J711" s="13">
        <f>(D711-E711)^2</f>
        <v/>
      </c>
      <c r="K711" s="14">
        <f>IF(ABS(G711)&lt;=1E-8,"",ABS((G711-H711)/G711))</f>
        <v/>
      </c>
    </row>
    <row r="712">
      <c r="A712" s="11" t="n">
        <v>45504</v>
      </c>
      <c r="B712" s="12" t="inlineStr">
        <is>
          <t>IT</t>
        </is>
      </c>
      <c r="C712" s="12" t="inlineStr">
        <is>
          <t>AR(1)</t>
        </is>
      </c>
      <c r="D712" s="13" t="n">
        <v>-0.2999999999999998</v>
      </c>
      <c r="E712" s="13" t="n">
        <v>0.1804551340713144</v>
      </c>
      <c r="F712" s="13" t="n">
        <v>6.7</v>
      </c>
      <c r="G712" s="13">
        <f>D712+F712</f>
        <v/>
      </c>
      <c r="H712" s="13">
        <f>E712+F712</f>
        <v/>
      </c>
      <c r="I712" s="13">
        <f>ABS(D712-E712)</f>
        <v/>
      </c>
      <c r="J712" s="13">
        <f>(D712-E712)^2</f>
        <v/>
      </c>
      <c r="K712" s="14">
        <f>IF(ABS(G712)&lt;=1E-8,"",ABS((G712-H712)/G712))</f>
        <v/>
      </c>
    </row>
    <row r="713">
      <c r="A713" s="11" t="n">
        <v>45504</v>
      </c>
      <c r="B713" s="12" t="inlineStr">
        <is>
          <t>JP</t>
        </is>
      </c>
      <c r="C713" s="12" t="inlineStr">
        <is>
          <t>AR(1)</t>
        </is>
      </c>
      <c r="D713" s="13" t="n">
        <v>0.2000000000000001</v>
      </c>
      <c r="E713" s="13" t="n">
        <v>0.0198438412903696</v>
      </c>
      <c r="F713" s="13" t="n">
        <v>2.5</v>
      </c>
      <c r="G713" s="13">
        <f>D713+F713</f>
        <v/>
      </c>
      <c r="H713" s="13">
        <f>E713+F713</f>
        <v/>
      </c>
      <c r="I713" s="13">
        <f>ABS(D713-E713)</f>
        <v/>
      </c>
      <c r="J713" s="13">
        <f>(D713-E713)^2</f>
        <v/>
      </c>
      <c r="K713" s="14">
        <f>IF(ABS(G713)&lt;=1E-8,"",ABS((G713-H713)/G713))</f>
        <v/>
      </c>
    </row>
    <row r="714">
      <c r="A714" s="11" t="n">
        <v>45504</v>
      </c>
      <c r="B714" s="12" t="inlineStr">
        <is>
          <t>KR</t>
        </is>
      </c>
      <c r="C714" s="12" t="inlineStr">
        <is>
          <t>AR(1)</t>
        </is>
      </c>
      <c r="D714" s="13" t="n">
        <v>-0.0999999999999996</v>
      </c>
      <c r="E714" s="13" t="n">
        <v>0.0406327665132251</v>
      </c>
      <c r="F714" s="13" t="n">
        <v>2.8</v>
      </c>
      <c r="G714" s="13">
        <f>D714+F714</f>
        <v/>
      </c>
      <c r="H714" s="13">
        <f>E714+F714</f>
        <v/>
      </c>
      <c r="I714" s="13">
        <f>ABS(D714-E714)</f>
        <v/>
      </c>
      <c r="J714" s="13">
        <f>(D714-E714)^2</f>
        <v/>
      </c>
      <c r="K714" s="14">
        <f>IF(ABS(G714)&lt;=1E-8,"",ABS((G714-H714)/G714))</f>
        <v/>
      </c>
    </row>
    <row r="715">
      <c r="A715" s="11" t="n">
        <v>45504</v>
      </c>
      <c r="B715" s="12" t="inlineStr">
        <is>
          <t>US</t>
        </is>
      </c>
      <c r="C715" s="12" t="inlineStr">
        <is>
          <t>AR(1)</t>
        </is>
      </c>
      <c r="D715" s="13" t="n">
        <v>0.1000000000000005</v>
      </c>
      <c r="E715" s="13" t="n">
        <v>0.1011066637585856</v>
      </c>
      <c r="F715" s="13" t="n">
        <v>4.1</v>
      </c>
      <c r="G715" s="13">
        <f>D715+F715</f>
        <v/>
      </c>
      <c r="H715" s="13">
        <f>E715+F715</f>
        <v/>
      </c>
      <c r="I715" s="13">
        <f>ABS(D715-E715)</f>
        <v/>
      </c>
      <c r="J715" s="13">
        <f>(D715-E715)^2</f>
        <v/>
      </c>
      <c r="K715" s="14">
        <f>IF(ABS(G715)&lt;=1E-8,"",ABS((G715-H715)/G715))</f>
        <v/>
      </c>
    </row>
    <row r="716">
      <c r="A716" s="11" t="n">
        <v>45535</v>
      </c>
      <c r="B716" s="12" t="inlineStr">
        <is>
          <t>AU</t>
        </is>
      </c>
      <c r="C716" s="12" t="inlineStr">
        <is>
          <t>AR(1)</t>
        </is>
      </c>
      <c r="D716" s="13" t="n">
        <v>-0.0666090000000005</v>
      </c>
      <c r="E716" s="13" t="n">
        <v>0.0441767640916785</v>
      </c>
      <c r="F716" s="13" t="n">
        <v>4.191932</v>
      </c>
      <c r="G716" s="13">
        <f>D716+F716</f>
        <v/>
      </c>
      <c r="H716" s="13">
        <f>E716+F716</f>
        <v/>
      </c>
      <c r="I716" s="13">
        <f>ABS(D716-E716)</f>
        <v/>
      </c>
      <c r="J716" s="13">
        <f>(D716-E716)^2</f>
        <v/>
      </c>
      <c r="K716" s="14">
        <f>IF(ABS(G716)&lt;=1E-8,"",ABS((G716-H716)/G716))</f>
        <v/>
      </c>
    </row>
    <row r="717">
      <c r="A717" s="11" t="n">
        <v>45535</v>
      </c>
      <c r="B717" s="12" t="inlineStr">
        <is>
          <t>CA</t>
        </is>
      </c>
      <c r="C717" s="12" t="inlineStr">
        <is>
          <t>AR(1)</t>
        </is>
      </c>
      <c r="D717" s="13" t="n">
        <v>0.1999999999999993</v>
      </c>
      <c r="E717" s="13" t="n">
        <v>0.0529724387677892</v>
      </c>
      <c r="F717" s="13" t="n">
        <v>6.4</v>
      </c>
      <c r="G717" s="13">
        <f>D717+F717</f>
        <v/>
      </c>
      <c r="H717" s="13">
        <f>E717+F717</f>
        <v/>
      </c>
      <c r="I717" s="13">
        <f>ABS(D717-E717)</f>
        <v/>
      </c>
      <c r="J717" s="13">
        <f>(D717-E717)^2</f>
        <v/>
      </c>
      <c r="K717" s="14">
        <f>IF(ABS(G717)&lt;=1E-8,"",ABS((G717-H717)/G717))</f>
        <v/>
      </c>
    </row>
    <row r="718">
      <c r="A718" s="11" t="n">
        <v>45535</v>
      </c>
      <c r="B718" s="12" t="inlineStr">
        <is>
          <t>DE</t>
        </is>
      </c>
      <c r="C718" s="12" t="inlineStr">
        <is>
          <t>AR(1)</t>
        </is>
      </c>
      <c r="D718" s="13" t="n">
        <v>0</v>
      </c>
      <c r="E718" s="13" t="n">
        <v>-0.0014547643209613</v>
      </c>
      <c r="F718" s="13" t="n">
        <v>3.4</v>
      </c>
      <c r="G718" s="13">
        <f>D718+F718</f>
        <v/>
      </c>
      <c r="H718" s="13">
        <f>E718+F718</f>
        <v/>
      </c>
      <c r="I718" s="13">
        <f>ABS(D718-E718)</f>
        <v/>
      </c>
      <c r="J718" s="13">
        <f>(D718-E718)^2</f>
        <v/>
      </c>
      <c r="K718" s="14">
        <f>IF(ABS(G718)&lt;=1E-8,"",ABS((G718-H718)/G718))</f>
        <v/>
      </c>
    </row>
    <row r="719">
      <c r="A719" s="11" t="n">
        <v>45535</v>
      </c>
      <c r="B719" s="12" t="inlineStr">
        <is>
          <t>FR</t>
        </is>
      </c>
      <c r="C719" s="12" t="inlineStr">
        <is>
          <t>AR(1)</t>
        </is>
      </c>
      <c r="D719" s="13" t="n">
        <v>0</v>
      </c>
      <c r="E719" s="13" t="n">
        <v>0.006338052886362</v>
      </c>
      <c r="F719" s="13" t="n">
        <v>7.5</v>
      </c>
      <c r="G719" s="13">
        <f>D719+F719</f>
        <v/>
      </c>
      <c r="H719" s="13">
        <f>E719+F719</f>
        <v/>
      </c>
      <c r="I719" s="13">
        <f>ABS(D719-E719)</f>
        <v/>
      </c>
      <c r="J719" s="13">
        <f>(D719-E719)^2</f>
        <v/>
      </c>
      <c r="K719" s="14">
        <f>IF(ABS(G719)&lt;=1E-8,"",ABS((G719-H719)/G719))</f>
        <v/>
      </c>
    </row>
    <row r="720">
      <c r="A720" s="11" t="n">
        <v>45535</v>
      </c>
      <c r="B720" s="12" t="inlineStr">
        <is>
          <t>GB</t>
        </is>
      </c>
      <c r="C720" s="12" t="inlineStr">
        <is>
          <t>AR(1)</t>
        </is>
      </c>
      <c r="D720" s="13" t="n">
        <v>0.2000000000000001</v>
      </c>
      <c r="E720" s="13" t="n">
        <v>0.0164493841900879</v>
      </c>
      <c r="F720" s="13" t="n">
        <v>4.1</v>
      </c>
      <c r="G720" s="13">
        <f>D720+F720</f>
        <v/>
      </c>
      <c r="H720" s="13">
        <f>E720+F720</f>
        <v/>
      </c>
      <c r="I720" s="13">
        <f>ABS(D720-E720)</f>
        <v/>
      </c>
      <c r="J720" s="13">
        <f>(D720-E720)^2</f>
        <v/>
      </c>
      <c r="K720" s="14">
        <f>IF(ABS(G720)&lt;=1E-8,"",ABS((G720-H720)/G720))</f>
        <v/>
      </c>
    </row>
    <row r="721">
      <c r="A721" s="11" t="n">
        <v>45535</v>
      </c>
      <c r="B721" s="12" t="inlineStr">
        <is>
          <t>IT</t>
        </is>
      </c>
      <c r="C721" s="12" t="inlineStr">
        <is>
          <t>AR(1)</t>
        </is>
      </c>
      <c r="D721" s="13" t="n">
        <v>0</v>
      </c>
      <c r="E721" s="13" t="n">
        <v>0.2040936349746113</v>
      </c>
      <c r="F721" s="13" t="n">
        <v>6.4</v>
      </c>
      <c r="G721" s="13">
        <f>D721+F721</f>
        <v/>
      </c>
      <c r="H721" s="13">
        <f>E721+F721</f>
        <v/>
      </c>
      <c r="I721" s="13">
        <f>ABS(D721-E721)</f>
        <v/>
      </c>
      <c r="J721" s="13">
        <f>(D721-E721)^2</f>
        <v/>
      </c>
      <c r="K721" s="14">
        <f>IF(ABS(G721)&lt;=1E-8,"",ABS((G721-H721)/G721))</f>
        <v/>
      </c>
    </row>
    <row r="722">
      <c r="A722" s="11" t="n">
        <v>45535</v>
      </c>
      <c r="B722" s="12" t="inlineStr">
        <is>
          <t>JP</t>
        </is>
      </c>
      <c r="C722" s="12" t="inlineStr">
        <is>
          <t>AR(1)</t>
        </is>
      </c>
      <c r="D722" s="13" t="n">
        <v>-0.2000000000000001</v>
      </c>
      <c r="E722" s="13" t="n">
        <v>1.076026174628986e-05</v>
      </c>
      <c r="F722" s="13" t="n">
        <v>2.7</v>
      </c>
      <c r="G722" s="13">
        <f>D722+F722</f>
        <v/>
      </c>
      <c r="H722" s="13">
        <f>E722+F722</f>
        <v/>
      </c>
      <c r="I722" s="13">
        <f>ABS(D722-E722)</f>
        <v/>
      </c>
      <c r="J722" s="13">
        <f>(D722-E722)^2</f>
        <v/>
      </c>
      <c r="K722" s="14">
        <f>IF(ABS(G722)&lt;=1E-8,"",ABS((G722-H722)/G722))</f>
        <v/>
      </c>
    </row>
    <row r="723">
      <c r="A723" s="11" t="n">
        <v>45535</v>
      </c>
      <c r="B723" s="12" t="inlineStr">
        <is>
          <t>KR</t>
        </is>
      </c>
      <c r="C723" s="12" t="inlineStr">
        <is>
          <t>AR(1)</t>
        </is>
      </c>
      <c r="D723" s="13" t="n">
        <v>-0.1</v>
      </c>
      <c r="E723" s="13" t="n">
        <v>0.0466542549603086</v>
      </c>
      <c r="F723" s="13" t="n">
        <v>2.7</v>
      </c>
      <c r="G723" s="13">
        <f>D723+F723</f>
        <v/>
      </c>
      <c r="H723" s="13">
        <f>E723+F723</f>
        <v/>
      </c>
      <c r="I723" s="13">
        <f>ABS(D723-E723)</f>
        <v/>
      </c>
      <c r="J723" s="13">
        <f>(D723-E723)^2</f>
        <v/>
      </c>
      <c r="K723" s="14">
        <f>IF(ABS(G723)&lt;=1E-8,"",ABS((G723-H723)/G723))</f>
        <v/>
      </c>
    </row>
    <row r="724">
      <c r="A724" s="11" t="n">
        <v>45535</v>
      </c>
      <c r="B724" s="12" t="inlineStr">
        <is>
          <t>US</t>
        </is>
      </c>
      <c r="C724" s="12" t="inlineStr">
        <is>
          <t>AR(1)</t>
        </is>
      </c>
      <c r="D724" s="13" t="n">
        <v>0</v>
      </c>
      <c r="E724" s="13" t="n">
        <v>0.0899660677701493</v>
      </c>
      <c r="F724" s="13" t="n">
        <v>4.2</v>
      </c>
      <c r="G724" s="13">
        <f>D724+F724</f>
        <v/>
      </c>
      <c r="H724" s="13">
        <f>E724+F724</f>
        <v/>
      </c>
      <c r="I724" s="13">
        <f>ABS(D724-E724)</f>
        <v/>
      </c>
      <c r="J724" s="13">
        <f>(D724-E724)^2</f>
        <v/>
      </c>
      <c r="K724" s="14">
        <f>IF(ABS(G724)&lt;=1E-8,"",ABS((G724-H724)/G724))</f>
        <v/>
      </c>
    </row>
    <row r="725">
      <c r="A725" s="11" t="n">
        <v>45565</v>
      </c>
      <c r="B725" s="12" t="inlineStr">
        <is>
          <t>AU</t>
        </is>
      </c>
      <c r="C725" s="12" t="inlineStr">
        <is>
          <t>AR(1)</t>
        </is>
      </c>
      <c r="D725" s="13" t="n">
        <v>-0.1128520000000001</v>
      </c>
      <c r="E725" s="13" t="n">
        <v>0.0489429492571059</v>
      </c>
      <c r="F725" s="13" t="n">
        <v>4.125323</v>
      </c>
      <c r="G725" s="13">
        <f>D725+F725</f>
        <v/>
      </c>
      <c r="H725" s="13">
        <f>E725+F725</f>
        <v/>
      </c>
      <c r="I725" s="13">
        <f>ABS(D725-E725)</f>
        <v/>
      </c>
      <c r="J725" s="13">
        <f>(D725-E725)^2</f>
        <v/>
      </c>
      <c r="K725" s="14">
        <f>IF(ABS(G725)&lt;=1E-8,"",ABS((G725-H725)/G725))</f>
        <v/>
      </c>
    </row>
    <row r="726">
      <c r="A726" s="11" t="n">
        <v>45565</v>
      </c>
      <c r="B726" s="12" t="inlineStr">
        <is>
          <t>CA</t>
        </is>
      </c>
      <c r="C726" s="12" t="inlineStr">
        <is>
          <t>AR(1)</t>
        </is>
      </c>
      <c r="D726" s="13" t="n">
        <v>-0.0999999999999996</v>
      </c>
      <c r="E726" s="13" t="n">
        <v>0.034151615744453</v>
      </c>
      <c r="F726" s="13" t="n">
        <v>6.6</v>
      </c>
      <c r="G726" s="13">
        <f>D726+F726</f>
        <v/>
      </c>
      <c r="H726" s="13">
        <f>E726+F726</f>
        <v/>
      </c>
      <c r="I726" s="13">
        <f>ABS(D726-E726)</f>
        <v/>
      </c>
      <c r="J726" s="13">
        <f>(D726-E726)^2</f>
        <v/>
      </c>
      <c r="K726" s="14">
        <f>IF(ABS(G726)&lt;=1E-8,"",ABS((G726-H726)/G726))</f>
        <v/>
      </c>
    </row>
    <row r="727">
      <c r="A727" s="11" t="n">
        <v>45565</v>
      </c>
      <c r="B727" s="12" t="inlineStr">
        <is>
          <t>DE</t>
        </is>
      </c>
      <c r="C727" s="12" t="inlineStr">
        <is>
          <t>AR(1)</t>
        </is>
      </c>
      <c r="D727" s="13" t="n">
        <v>0</v>
      </c>
      <c r="E727" s="13" t="n">
        <v>-0.0004607759370787</v>
      </c>
      <c r="F727" s="13" t="n">
        <v>3.4</v>
      </c>
      <c r="G727" s="13">
        <f>D727+F727</f>
        <v/>
      </c>
      <c r="H727" s="13">
        <f>E727+F727</f>
        <v/>
      </c>
      <c r="I727" s="13">
        <f>ABS(D727-E727)</f>
        <v/>
      </c>
      <c r="J727" s="13">
        <f>(D727-E727)^2</f>
        <v/>
      </c>
      <c r="K727" s="14">
        <f>IF(ABS(G727)&lt;=1E-8,"",ABS((G727-H727)/G727))</f>
        <v/>
      </c>
    </row>
    <row r="728">
      <c r="A728" s="11" t="n">
        <v>45565</v>
      </c>
      <c r="B728" s="12" t="inlineStr">
        <is>
          <t>FR</t>
        </is>
      </c>
      <c r="C728" s="12" t="inlineStr">
        <is>
          <t>AR(1)</t>
        </is>
      </c>
      <c r="D728" s="13" t="n">
        <v>0</v>
      </c>
      <c r="E728" s="13" t="n">
        <v>0.006209131712027</v>
      </c>
      <c r="F728" s="13" t="n">
        <v>7.5</v>
      </c>
      <c r="G728" s="13">
        <f>D728+F728</f>
        <v/>
      </c>
      <c r="H728" s="13">
        <f>E728+F728</f>
        <v/>
      </c>
      <c r="I728" s="13">
        <f>ABS(D728-E728)</f>
        <v/>
      </c>
      <c r="J728" s="13">
        <f>(D728-E728)^2</f>
        <v/>
      </c>
      <c r="K728" s="14">
        <f>IF(ABS(G728)&lt;=1E-8,"",ABS((G728-H728)/G728))</f>
        <v/>
      </c>
    </row>
    <row r="729">
      <c r="A729" s="11" t="n">
        <v>45565</v>
      </c>
      <c r="B729" s="12" t="inlineStr">
        <is>
          <t>GB</t>
        </is>
      </c>
      <c r="C729" s="12" t="inlineStr">
        <is>
          <t>AR(1)</t>
        </is>
      </c>
      <c r="D729" s="13" t="n">
        <v>-0.0999999999999996</v>
      </c>
      <c r="E729" s="13" t="n">
        <v>-0.0032999905064668</v>
      </c>
      <c r="F729" s="13" t="n">
        <v>4.3</v>
      </c>
      <c r="G729" s="13">
        <f>D729+F729</f>
        <v/>
      </c>
      <c r="H729" s="13">
        <f>E729+F729</f>
        <v/>
      </c>
      <c r="I729" s="13">
        <f>ABS(D729-E729)</f>
        <v/>
      </c>
      <c r="J729" s="13">
        <f>(D729-E729)^2</f>
        <v/>
      </c>
      <c r="K729" s="14">
        <f>IF(ABS(G729)&lt;=1E-8,"",ABS((G729-H729)/G729))</f>
        <v/>
      </c>
    </row>
    <row r="730">
      <c r="A730" s="11" t="n">
        <v>45565</v>
      </c>
      <c r="B730" s="12" t="inlineStr">
        <is>
          <t>IT</t>
        </is>
      </c>
      <c r="C730" s="12" t="inlineStr">
        <is>
          <t>AR(1)</t>
        </is>
      </c>
      <c r="D730" s="13" t="n">
        <v>-0.3000000000000007</v>
      </c>
      <c r="E730" s="13" t="n">
        <v>0.1990631598653028</v>
      </c>
      <c r="F730" s="13" t="n">
        <v>6.4</v>
      </c>
      <c r="G730" s="13">
        <f>D730+F730</f>
        <v/>
      </c>
      <c r="H730" s="13">
        <f>E730+F730</f>
        <v/>
      </c>
      <c r="I730" s="13">
        <f>ABS(D730-E730)</f>
        <v/>
      </c>
      <c r="J730" s="13">
        <f>(D730-E730)^2</f>
        <v/>
      </c>
      <c r="K730" s="14">
        <f>IF(ABS(G730)&lt;=1E-8,"",ABS((G730-H730)/G730))</f>
        <v/>
      </c>
    </row>
    <row r="731">
      <c r="A731" s="11" t="n">
        <v>45565</v>
      </c>
      <c r="B731" s="12" t="inlineStr">
        <is>
          <t>JP</t>
        </is>
      </c>
      <c r="C731" s="12" t="inlineStr">
        <is>
          <t>AR(1)</t>
        </is>
      </c>
      <c r="D731" s="13" t="n">
        <v>-0.1</v>
      </c>
      <c r="E731" s="13" t="n">
        <v>0.0209215518741574</v>
      </c>
      <c r="F731" s="13" t="n">
        <v>2.5</v>
      </c>
      <c r="G731" s="13">
        <f>D731+F731</f>
        <v/>
      </c>
      <c r="H731" s="13">
        <f>E731+F731</f>
        <v/>
      </c>
      <c r="I731" s="13">
        <f>ABS(D731-E731)</f>
        <v/>
      </c>
      <c r="J731" s="13">
        <f>(D731-E731)^2</f>
        <v/>
      </c>
      <c r="K731" s="14">
        <f>IF(ABS(G731)&lt;=1E-8,"",ABS((G731-H731)/G731))</f>
        <v/>
      </c>
    </row>
    <row r="732">
      <c r="A732" s="11" t="n">
        <v>45565</v>
      </c>
      <c r="B732" s="12" t="inlineStr">
        <is>
          <t>KR</t>
        </is>
      </c>
      <c r="C732" s="12" t="inlineStr">
        <is>
          <t>AR(1)</t>
        </is>
      </c>
      <c r="D732" s="13" t="n">
        <v>0</v>
      </c>
      <c r="E732" s="13" t="n">
        <v>0.060721494912959</v>
      </c>
      <c r="F732" s="13" t="n">
        <v>2.6</v>
      </c>
      <c r="G732" s="13">
        <f>D732+F732</f>
        <v/>
      </c>
      <c r="H732" s="13">
        <f>E732+F732</f>
        <v/>
      </c>
      <c r="I732" s="13">
        <f>ABS(D732-E732)</f>
        <v/>
      </c>
      <c r="J732" s="13">
        <f>(D732-E732)^2</f>
        <v/>
      </c>
      <c r="K732" s="14">
        <f>IF(ABS(G732)&lt;=1E-8,"",ABS((G732-H732)/G732))</f>
        <v/>
      </c>
    </row>
    <row r="733">
      <c r="A733" s="11" t="n">
        <v>45565</v>
      </c>
      <c r="B733" s="12" t="inlineStr">
        <is>
          <t>US</t>
        </is>
      </c>
      <c r="C733" s="12" t="inlineStr">
        <is>
          <t>AR(1)</t>
        </is>
      </c>
      <c r="D733" s="13" t="n">
        <v>-0.1000000000000005</v>
      </c>
      <c r="E733" s="13" t="n">
        <v>0.09246920249141941</v>
      </c>
      <c r="F733" s="13" t="n">
        <v>4.2</v>
      </c>
      <c r="G733" s="13">
        <f>D733+F733</f>
        <v/>
      </c>
      <c r="H733" s="13">
        <f>E733+F733</f>
        <v/>
      </c>
      <c r="I733" s="13">
        <f>ABS(D733-E733)</f>
        <v/>
      </c>
      <c r="J733" s="13">
        <f>(D733-E733)^2</f>
        <v/>
      </c>
      <c r="K733" s="14">
        <f>IF(ABS(G733)&lt;=1E-8,"",ABS((G733-H733)/G733))</f>
        <v/>
      </c>
    </row>
    <row r="734">
      <c r="A734" s="11" t="n">
        <v>45596</v>
      </c>
      <c r="B734" s="12" t="inlineStr">
        <is>
          <t>AU</t>
        </is>
      </c>
      <c r="C734" s="12" t="inlineStr">
        <is>
          <t>AR(1)</t>
        </is>
      </c>
      <c r="D734" s="13" t="n">
        <v>0.07834099999999999</v>
      </c>
      <c r="E734" s="13" t="n">
        <v>0.0584592930250315</v>
      </c>
      <c r="F734" s="13" t="n">
        <v>4.012471</v>
      </c>
      <c r="G734" s="13">
        <f>D734+F734</f>
        <v/>
      </c>
      <c r="H734" s="13">
        <f>E734+F734</f>
        <v/>
      </c>
      <c r="I734" s="13">
        <f>ABS(D734-E734)</f>
        <v/>
      </c>
      <c r="J734" s="13">
        <f>(D734-E734)^2</f>
        <v/>
      </c>
      <c r="K734" s="14">
        <f>IF(ABS(G734)&lt;=1E-8,"",ABS((G734-H734)/G734))</f>
        <v/>
      </c>
    </row>
    <row r="735">
      <c r="A735" s="11" t="n">
        <v>45596</v>
      </c>
      <c r="B735" s="12" t="inlineStr">
        <is>
          <t>CA</t>
        </is>
      </c>
      <c r="C735" s="12" t="inlineStr">
        <is>
          <t>AR(1)</t>
        </is>
      </c>
      <c r="D735" s="13" t="n">
        <v>0.0999999999999996</v>
      </c>
      <c r="E735" s="13" t="n">
        <v>0.0475751695959438</v>
      </c>
      <c r="F735" s="13" t="n">
        <v>6.5</v>
      </c>
      <c r="G735" s="13">
        <f>D735+F735</f>
        <v/>
      </c>
      <c r="H735" s="13">
        <f>E735+F735</f>
        <v/>
      </c>
      <c r="I735" s="13">
        <f>ABS(D735-E735)</f>
        <v/>
      </c>
      <c r="J735" s="13">
        <f>(D735-E735)^2</f>
        <v/>
      </c>
      <c r="K735" s="14">
        <f>IF(ABS(G735)&lt;=1E-8,"",ABS((G735-H735)/G735))</f>
        <v/>
      </c>
    </row>
    <row r="736">
      <c r="A736" s="11" t="n">
        <v>45596</v>
      </c>
      <c r="B736" s="12" t="inlineStr">
        <is>
          <t>DE</t>
        </is>
      </c>
      <c r="C736" s="12" t="inlineStr">
        <is>
          <t>AR(1)</t>
        </is>
      </c>
      <c r="D736" s="13" t="n">
        <v>0</v>
      </c>
      <c r="E736" s="13" t="n">
        <v>0.0005308975019694</v>
      </c>
      <c r="F736" s="13" t="n">
        <v>3.4</v>
      </c>
      <c r="G736" s="13">
        <f>D736+F736</f>
        <v/>
      </c>
      <c r="H736" s="13">
        <f>E736+F736</f>
        <v/>
      </c>
      <c r="I736" s="13">
        <f>ABS(D736-E736)</f>
        <v/>
      </c>
      <c r="J736" s="13">
        <f>(D736-E736)^2</f>
        <v/>
      </c>
      <c r="K736" s="14">
        <f>IF(ABS(G736)&lt;=1E-8,"",ABS((G736-H736)/G736))</f>
        <v/>
      </c>
    </row>
    <row r="737">
      <c r="A737" s="11" t="n">
        <v>45596</v>
      </c>
      <c r="B737" s="12" t="inlineStr">
        <is>
          <t>FR</t>
        </is>
      </c>
      <c r="C737" s="12" t="inlineStr">
        <is>
          <t>AR(1)</t>
        </is>
      </c>
      <c r="D737" s="13" t="n">
        <v>-0.0999999999999996</v>
      </c>
      <c r="E737" s="13" t="n">
        <v>0.0062789357454698</v>
      </c>
      <c r="F737" s="13" t="n">
        <v>7.5</v>
      </c>
      <c r="G737" s="13">
        <f>D737+F737</f>
        <v/>
      </c>
      <c r="H737" s="13">
        <f>E737+F737</f>
        <v/>
      </c>
      <c r="I737" s="13">
        <f>ABS(D737-E737)</f>
        <v/>
      </c>
      <c r="J737" s="13">
        <f>(D737-E737)^2</f>
        <v/>
      </c>
      <c r="K737" s="14">
        <f>IF(ABS(G737)&lt;=1E-8,"",ABS((G737-H737)/G737))</f>
        <v/>
      </c>
    </row>
    <row r="738">
      <c r="A738" s="11" t="n">
        <v>45596</v>
      </c>
      <c r="B738" s="12" t="inlineStr">
        <is>
          <t>GB</t>
        </is>
      </c>
      <c r="C738" s="12" t="inlineStr">
        <is>
          <t>AR(1)</t>
        </is>
      </c>
      <c r="D738" s="13" t="n">
        <v>0.2000000000000001</v>
      </c>
      <c r="E738" s="13" t="n">
        <v>0.0092024583118598</v>
      </c>
      <c r="F738" s="13" t="n">
        <v>4.2</v>
      </c>
      <c r="G738" s="13">
        <f>D738+F738</f>
        <v/>
      </c>
      <c r="H738" s="13">
        <f>E738+F738</f>
        <v/>
      </c>
      <c r="I738" s="13">
        <f>ABS(D738-E738)</f>
        <v/>
      </c>
      <c r="J738" s="13">
        <f>(D738-E738)^2</f>
        <v/>
      </c>
      <c r="K738" s="14">
        <f>IF(ABS(G738)&lt;=1E-8,"",ABS((G738-H738)/G738))</f>
        <v/>
      </c>
    </row>
    <row r="739">
      <c r="A739" s="11" t="n">
        <v>45596</v>
      </c>
      <c r="B739" s="12" t="inlineStr">
        <is>
          <t>IT</t>
        </is>
      </c>
      <c r="C739" s="12" t="inlineStr">
        <is>
          <t>AR(1)</t>
        </is>
      </c>
      <c r="D739" s="13" t="n">
        <v>0</v>
      </c>
      <c r="E739" s="13" t="n">
        <v>0.2176605360961571</v>
      </c>
      <c r="F739" s="13" t="n">
        <v>6.1</v>
      </c>
      <c r="G739" s="13">
        <f>D739+F739</f>
        <v/>
      </c>
      <c r="H739" s="13">
        <f>E739+F739</f>
        <v/>
      </c>
      <c r="I739" s="13">
        <f>ABS(D739-E739)</f>
        <v/>
      </c>
      <c r="J739" s="13">
        <f>(D739-E739)^2</f>
        <v/>
      </c>
      <c r="K739" s="14">
        <f>IF(ABS(G739)&lt;=1E-8,"",ABS((G739-H739)/G739))</f>
        <v/>
      </c>
    </row>
    <row r="740">
      <c r="A740" s="11" t="n">
        <v>45596</v>
      </c>
      <c r="B740" s="12" t="inlineStr">
        <is>
          <t>JP</t>
        </is>
      </c>
      <c r="C740" s="12" t="inlineStr">
        <is>
          <t>AR(1)</t>
        </is>
      </c>
      <c r="D740" s="13" t="n">
        <v>0.1</v>
      </c>
      <c r="E740" s="13" t="n">
        <v>0.0296492561591823</v>
      </c>
      <c r="F740" s="13" t="n">
        <v>2.4</v>
      </c>
      <c r="G740" s="13">
        <f>D740+F740</f>
        <v/>
      </c>
      <c r="H740" s="13">
        <f>E740+F740</f>
        <v/>
      </c>
      <c r="I740" s="13">
        <f>ABS(D740-E740)</f>
        <v/>
      </c>
      <c r="J740" s="13">
        <f>(D740-E740)^2</f>
        <v/>
      </c>
      <c r="K740" s="14">
        <f>IF(ABS(G740)&lt;=1E-8,"",ABS((G740-H740)/G740))</f>
        <v/>
      </c>
    </row>
    <row r="741">
      <c r="A741" s="11" t="n">
        <v>45596</v>
      </c>
      <c r="B741" s="12" t="inlineStr">
        <is>
          <t>KR</t>
        </is>
      </c>
      <c r="C741" s="12" t="inlineStr">
        <is>
          <t>AR(1)</t>
        </is>
      </c>
      <c r="D741" s="13" t="n">
        <v>0.1999999999999997</v>
      </c>
      <c r="E741" s="13" t="n">
        <v>0.0586268391059939</v>
      </c>
      <c r="F741" s="13" t="n">
        <v>2.6</v>
      </c>
      <c r="G741" s="13">
        <f>D741+F741</f>
        <v/>
      </c>
      <c r="H741" s="13">
        <f>E741+F741</f>
        <v/>
      </c>
      <c r="I741" s="13">
        <f>ABS(D741-E741)</f>
        <v/>
      </c>
      <c r="J741" s="13">
        <f>(D741-E741)^2</f>
        <v/>
      </c>
      <c r="K741" s="14">
        <f>IF(ABS(G741)&lt;=1E-8,"",ABS((G741-H741)/G741))</f>
        <v/>
      </c>
    </row>
    <row r="742">
      <c r="A742" s="11" t="n">
        <v>45596</v>
      </c>
      <c r="B742" s="12" t="inlineStr">
        <is>
          <t>US</t>
        </is>
      </c>
      <c r="C742" s="12" t="inlineStr">
        <is>
          <t>AR(1)</t>
        </is>
      </c>
      <c r="D742" s="13" t="n">
        <v>0</v>
      </c>
      <c r="E742" s="13" t="n">
        <v>0.1051897171426382</v>
      </c>
      <c r="F742" s="13" t="n">
        <v>4.1</v>
      </c>
      <c r="G742" s="13">
        <f>D742+F742</f>
        <v/>
      </c>
      <c r="H742" s="13">
        <f>E742+F742</f>
        <v/>
      </c>
      <c r="I742" s="13">
        <f>ABS(D742-E742)</f>
        <v/>
      </c>
      <c r="J742" s="13">
        <f>(D742-E742)^2</f>
        <v/>
      </c>
      <c r="K742" s="14">
        <f>IF(ABS(G742)&lt;=1E-8,"",ABS((G742-H742)/G742))</f>
        <v/>
      </c>
    </row>
    <row r="743">
      <c r="A743" s="11" t="n">
        <v>45626</v>
      </c>
      <c r="B743" s="12" t="inlineStr">
        <is>
          <t>AU</t>
        </is>
      </c>
      <c r="C743" s="12" t="inlineStr">
        <is>
          <t>AR(1)</t>
        </is>
      </c>
      <c r="D743" s="13" t="n">
        <v>-0.1543519999999998</v>
      </c>
      <c r="E743" s="13" t="n">
        <v>0.0468783395861694</v>
      </c>
      <c r="F743" s="13" t="n">
        <v>4.090812</v>
      </c>
      <c r="G743" s="13">
        <f>D743+F743</f>
        <v/>
      </c>
      <c r="H743" s="13">
        <f>E743+F743</f>
        <v/>
      </c>
      <c r="I743" s="13">
        <f>ABS(D743-E743)</f>
        <v/>
      </c>
      <c r="J743" s="13">
        <f>(D743-E743)^2</f>
        <v/>
      </c>
      <c r="K743" s="14">
        <f>IF(ABS(G743)&lt;=1E-8,"",ABS((G743-H743)/G743))</f>
        <v/>
      </c>
    </row>
    <row r="744">
      <c r="A744" s="11" t="n">
        <v>45626</v>
      </c>
      <c r="B744" s="12" t="inlineStr">
        <is>
          <t>CA</t>
        </is>
      </c>
      <c r="C744" s="12" t="inlineStr">
        <is>
          <t>AR(1)</t>
        </is>
      </c>
      <c r="D744" s="13" t="n">
        <v>0.4000000000000003</v>
      </c>
      <c r="E744" s="13" t="n">
        <v>0.039264933338131</v>
      </c>
      <c r="F744" s="13" t="n">
        <v>6.6</v>
      </c>
      <c r="G744" s="13">
        <f>D744+F744</f>
        <v/>
      </c>
      <c r="H744" s="13">
        <f>E744+F744</f>
        <v/>
      </c>
      <c r="I744" s="13">
        <f>ABS(D744-E744)</f>
        <v/>
      </c>
      <c r="J744" s="13">
        <f>(D744-E744)^2</f>
        <v/>
      </c>
      <c r="K744" s="14">
        <f>IF(ABS(G744)&lt;=1E-8,"",ABS((G744-H744)/G744))</f>
        <v/>
      </c>
    </row>
    <row r="745">
      <c r="A745" s="11" t="n">
        <v>45626</v>
      </c>
      <c r="B745" s="12" t="inlineStr">
        <is>
          <t>DE</t>
        </is>
      </c>
      <c r="C745" s="12" t="inlineStr">
        <is>
          <t>AR(1)</t>
        </is>
      </c>
      <c r="D745" s="13" t="n">
        <v>0</v>
      </c>
      <c r="E745" s="13" t="n">
        <v>0.00151489080315</v>
      </c>
      <c r="F745" s="13" t="n">
        <v>3.4</v>
      </c>
      <c r="G745" s="13">
        <f>D745+F745</f>
        <v/>
      </c>
      <c r="H745" s="13">
        <f>E745+F745</f>
        <v/>
      </c>
      <c r="I745" s="13">
        <f>ABS(D745-E745)</f>
        <v/>
      </c>
      <c r="J745" s="13">
        <f>(D745-E745)^2</f>
        <v/>
      </c>
      <c r="K745" s="14">
        <f>IF(ABS(G745)&lt;=1E-8,"",ABS((G745-H745)/G745))</f>
        <v/>
      </c>
    </row>
    <row r="746">
      <c r="A746" s="11" t="n">
        <v>45626</v>
      </c>
      <c r="B746" s="12" t="inlineStr">
        <is>
          <t>FR</t>
        </is>
      </c>
      <c r="C746" s="12" t="inlineStr">
        <is>
          <t>AR(1)</t>
        </is>
      </c>
      <c r="D746" s="13" t="n">
        <v>0</v>
      </c>
      <c r="E746" s="13" t="n">
        <v>0.0149145000059973</v>
      </c>
      <c r="F746" s="13" t="n">
        <v>7.4</v>
      </c>
      <c r="G746" s="13">
        <f>D746+F746</f>
        <v/>
      </c>
      <c r="H746" s="13">
        <f>E746+F746</f>
        <v/>
      </c>
      <c r="I746" s="13">
        <f>ABS(D746-E746)</f>
        <v/>
      </c>
      <c r="J746" s="13">
        <f>(D746-E746)^2</f>
        <v/>
      </c>
      <c r="K746" s="14">
        <f>IF(ABS(G746)&lt;=1E-8,"",ABS((G746-H746)/G746))</f>
        <v/>
      </c>
    </row>
    <row r="747">
      <c r="A747" s="11" t="n">
        <v>45626</v>
      </c>
      <c r="B747" s="12" t="inlineStr">
        <is>
          <t>GB</t>
        </is>
      </c>
      <c r="C747" s="12" t="inlineStr">
        <is>
          <t>AR(1)</t>
        </is>
      </c>
      <c r="D747" s="13" t="n">
        <v>0</v>
      </c>
      <c r="E747" s="13" t="n">
        <v>-0.0100657023031107</v>
      </c>
      <c r="F747" s="13" t="n">
        <v>4.4</v>
      </c>
      <c r="G747" s="13">
        <f>D747+F747</f>
        <v/>
      </c>
      <c r="H747" s="13">
        <f>E747+F747</f>
        <v/>
      </c>
      <c r="I747" s="13">
        <f>ABS(D747-E747)</f>
        <v/>
      </c>
      <c r="J747" s="13">
        <f>(D747-E747)^2</f>
        <v/>
      </c>
      <c r="K747" s="14">
        <f>IF(ABS(G747)&lt;=1E-8,"",ABS((G747-H747)/G747))</f>
        <v/>
      </c>
    </row>
    <row r="748">
      <c r="A748" s="11" t="n">
        <v>45626</v>
      </c>
      <c r="B748" s="12" t="inlineStr">
        <is>
          <t>IT</t>
        </is>
      </c>
      <c r="C748" s="12" t="inlineStr">
        <is>
          <t>AR(1)</t>
        </is>
      </c>
      <c r="D748" s="13" t="n">
        <v>0.1000000000000005</v>
      </c>
      <c r="E748" s="13" t="n">
        <v>0.2150969713220664</v>
      </c>
      <c r="F748" s="13" t="n">
        <v>6.1</v>
      </c>
      <c r="G748" s="13">
        <f>D748+F748</f>
        <v/>
      </c>
      <c r="H748" s="13">
        <f>E748+F748</f>
        <v/>
      </c>
      <c r="I748" s="13">
        <f>ABS(D748-E748)</f>
        <v/>
      </c>
      <c r="J748" s="13">
        <f>(D748-E748)^2</f>
        <v/>
      </c>
      <c r="K748" s="14">
        <f>IF(ABS(G748)&lt;=1E-8,"",ABS((G748-H748)/G748))</f>
        <v/>
      </c>
    </row>
    <row r="749">
      <c r="A749" s="11" t="n">
        <v>45626</v>
      </c>
      <c r="B749" s="12" t="inlineStr">
        <is>
          <t>JP</t>
        </is>
      </c>
      <c r="C749" s="12" t="inlineStr">
        <is>
          <t>AR(1)</t>
        </is>
      </c>
      <c r="D749" s="13" t="n">
        <v>0</v>
      </c>
      <c r="E749" s="13" t="n">
        <v>0.0195894298888626</v>
      </c>
      <c r="F749" s="13" t="n">
        <v>2.5</v>
      </c>
      <c r="G749" s="13">
        <f>D749+F749</f>
        <v/>
      </c>
      <c r="H749" s="13">
        <f>E749+F749</f>
        <v/>
      </c>
      <c r="I749" s="13">
        <f>ABS(D749-E749)</f>
        <v/>
      </c>
      <c r="J749" s="13">
        <f>(D749-E749)^2</f>
        <v/>
      </c>
      <c r="K749" s="14">
        <f>IF(ABS(G749)&lt;=1E-8,"",ABS((G749-H749)/G749))</f>
        <v/>
      </c>
    </row>
    <row r="750">
      <c r="A750" s="11" t="n">
        <v>45626</v>
      </c>
      <c r="B750" s="12" t="inlineStr">
        <is>
          <t>KR</t>
        </is>
      </c>
      <c r="C750" s="12" t="inlineStr">
        <is>
          <t>AR(1)</t>
        </is>
      </c>
      <c r="D750" s="13" t="n">
        <v>0</v>
      </c>
      <c r="E750" s="13" t="n">
        <v>0.0382053701255308</v>
      </c>
      <c r="F750" s="13" t="n">
        <v>2.8</v>
      </c>
      <c r="G750" s="13">
        <f>D750+F750</f>
        <v/>
      </c>
      <c r="H750" s="13">
        <f>E750+F750</f>
        <v/>
      </c>
      <c r="I750" s="13">
        <f>ABS(D750-E750)</f>
        <v/>
      </c>
      <c r="J750" s="13">
        <f>(D750-E750)^2</f>
        <v/>
      </c>
      <c r="K750" s="14">
        <f>IF(ABS(G750)&lt;=1E-8,"",ABS((G750-H750)/G750))</f>
        <v/>
      </c>
    </row>
    <row r="751">
      <c r="A751" s="11" t="n">
        <v>45626</v>
      </c>
      <c r="B751" s="12" t="inlineStr">
        <is>
          <t>US</t>
        </is>
      </c>
      <c r="C751" s="12" t="inlineStr">
        <is>
          <t>AR(1)</t>
        </is>
      </c>
      <c r="D751" s="13" t="n">
        <v>0.1000000000000005</v>
      </c>
      <c r="E751" s="13" t="n">
        <v>0.1045707793307771</v>
      </c>
      <c r="F751" s="13" t="n">
        <v>4.1</v>
      </c>
      <c r="G751" s="13">
        <f>D751+F751</f>
        <v/>
      </c>
      <c r="H751" s="13">
        <f>E751+F751</f>
        <v/>
      </c>
      <c r="I751" s="13">
        <f>ABS(D751-E751)</f>
        <v/>
      </c>
      <c r="J751" s="13">
        <f>(D751-E751)^2</f>
        <v/>
      </c>
      <c r="K751" s="14">
        <f>IF(ABS(G751)&lt;=1E-8,"",ABS((G751-H751)/G751))</f>
        <v/>
      </c>
    </row>
    <row r="752">
      <c r="A752" s="11" t="n">
        <v>45657</v>
      </c>
      <c r="B752" s="12" t="inlineStr">
        <is>
          <t>AU</t>
        </is>
      </c>
      <c r="C752" s="12" t="inlineStr">
        <is>
          <t>AR(1)</t>
        </is>
      </c>
      <c r="D752" s="13" t="n">
        <v>0.0621260000000001</v>
      </c>
      <c r="E752" s="13" t="n">
        <v>0.062532926057521</v>
      </c>
      <c r="F752" s="13" t="n">
        <v>3.93646</v>
      </c>
      <c r="G752" s="13">
        <f>D752+F752</f>
        <v/>
      </c>
      <c r="H752" s="13">
        <f>E752+F752</f>
        <v/>
      </c>
      <c r="I752" s="13">
        <f>ABS(D752-E752)</f>
        <v/>
      </c>
      <c r="J752" s="13">
        <f>(D752-E752)^2</f>
        <v/>
      </c>
      <c r="K752" s="14">
        <f>IF(ABS(G752)&lt;=1E-8,"",ABS((G752-H752)/G752))</f>
        <v/>
      </c>
    </row>
    <row r="753">
      <c r="A753" s="11" t="n">
        <v>45657</v>
      </c>
      <c r="B753" s="12" t="inlineStr">
        <is>
          <t>CA</t>
        </is>
      </c>
      <c r="C753" s="12" t="inlineStr">
        <is>
          <t>AR(1)</t>
        </is>
      </c>
      <c r="D753" s="13" t="n">
        <v>-0.2999999999999998</v>
      </c>
      <c r="E753" s="13" t="n">
        <v>-0.0039791242279505</v>
      </c>
      <c r="F753" s="13" t="n">
        <v>7</v>
      </c>
      <c r="G753" s="13">
        <f>D753+F753</f>
        <v/>
      </c>
      <c r="H753" s="13">
        <f>E753+F753</f>
        <v/>
      </c>
      <c r="I753" s="13">
        <f>ABS(D753-E753)</f>
        <v/>
      </c>
      <c r="J753" s="13">
        <f>(D753-E753)^2</f>
        <v/>
      </c>
      <c r="K753" s="14">
        <f>IF(ABS(G753)&lt;=1E-8,"",ABS((G753-H753)/G753))</f>
        <v/>
      </c>
    </row>
    <row r="754">
      <c r="A754" s="11" t="n">
        <v>45657</v>
      </c>
      <c r="B754" s="12" t="inlineStr">
        <is>
          <t>DE</t>
        </is>
      </c>
      <c r="C754" s="12" t="inlineStr">
        <is>
          <t>AR(1)</t>
        </is>
      </c>
      <c r="D754" s="13" t="n">
        <v>0.1</v>
      </c>
      <c r="E754" s="13" t="n">
        <v>0.0007949673084339</v>
      </c>
      <c r="F754" s="13" t="n">
        <v>3.4</v>
      </c>
      <c r="G754" s="13">
        <f>D754+F754</f>
        <v/>
      </c>
      <c r="H754" s="13">
        <f>E754+F754</f>
        <v/>
      </c>
      <c r="I754" s="13">
        <f>ABS(D754-E754)</f>
        <v/>
      </c>
      <c r="J754" s="13">
        <f>(D754-E754)^2</f>
        <v/>
      </c>
      <c r="K754" s="14">
        <f>IF(ABS(G754)&lt;=1E-8,"",ABS((G754-H754)/G754))</f>
        <v/>
      </c>
    </row>
    <row r="755">
      <c r="A755" s="11" t="n">
        <v>45657</v>
      </c>
      <c r="B755" s="12" t="inlineStr">
        <is>
          <t>FR</t>
        </is>
      </c>
      <c r="C755" s="12" t="inlineStr">
        <is>
          <t>AR(1)</t>
        </is>
      </c>
      <c r="D755" s="13" t="n">
        <v>-0.1000000000000005</v>
      </c>
      <c r="E755" s="13" t="n">
        <v>0.0134807604025961</v>
      </c>
      <c r="F755" s="13" t="n">
        <v>7.4</v>
      </c>
      <c r="G755" s="13">
        <f>D755+F755</f>
        <v/>
      </c>
      <c r="H755" s="13">
        <f>E755+F755</f>
        <v/>
      </c>
      <c r="I755" s="13">
        <f>ABS(D755-E755)</f>
        <v/>
      </c>
      <c r="J755" s="13">
        <f>(D755-E755)^2</f>
        <v/>
      </c>
      <c r="K755" s="14">
        <f>IF(ABS(G755)&lt;=1E-8,"",ABS((G755-H755)/G755))</f>
        <v/>
      </c>
    </row>
    <row r="756">
      <c r="A756" s="11" t="n">
        <v>45657</v>
      </c>
      <c r="B756" s="12" t="inlineStr">
        <is>
          <t>GB</t>
        </is>
      </c>
      <c r="C756" s="12" t="inlineStr">
        <is>
          <t>AR(1)</t>
        </is>
      </c>
      <c r="D756" s="13" t="n">
        <v>0</v>
      </c>
      <c r="E756" s="13" t="n">
        <v>-0.0073184945916188</v>
      </c>
      <c r="F756" s="13" t="n">
        <v>4.4</v>
      </c>
      <c r="G756" s="13">
        <f>D756+F756</f>
        <v/>
      </c>
      <c r="H756" s="13">
        <f>E756+F756</f>
        <v/>
      </c>
      <c r="I756" s="13">
        <f>ABS(D756-E756)</f>
        <v/>
      </c>
      <c r="J756" s="13">
        <f>(D756-E756)^2</f>
        <v/>
      </c>
      <c r="K756" s="14">
        <f>IF(ABS(G756)&lt;=1E-8,"",ABS((G756-H756)/G756))</f>
        <v/>
      </c>
    </row>
    <row r="757">
      <c r="A757" s="11" t="n">
        <v>45657</v>
      </c>
      <c r="B757" s="12" t="inlineStr">
        <is>
          <t>IT</t>
        </is>
      </c>
      <c r="C757" s="12" t="inlineStr">
        <is>
          <t>AR(1)</t>
        </is>
      </c>
      <c r="D757" s="13" t="n">
        <v>0.2000000000000001</v>
      </c>
      <c r="E757" s="13" t="n">
        <v>0.1946360288353574</v>
      </c>
      <c r="F757" s="13" t="n">
        <v>6.2</v>
      </c>
      <c r="G757" s="13">
        <f>D757+F757</f>
        <v/>
      </c>
      <c r="H757" s="13">
        <f>E757+F757</f>
        <v/>
      </c>
      <c r="I757" s="13">
        <f>ABS(D757-E757)</f>
        <v/>
      </c>
      <c r="J757" s="13">
        <f>(D757-E757)^2</f>
        <v/>
      </c>
      <c r="K757" s="14">
        <f>IF(ABS(G757)&lt;=1E-8,"",ABS((G757-H757)/G757))</f>
        <v/>
      </c>
    </row>
    <row r="758">
      <c r="A758" s="11" t="n">
        <v>45657</v>
      </c>
      <c r="B758" s="12" t="inlineStr">
        <is>
          <t>JP</t>
        </is>
      </c>
      <c r="C758" s="12" t="inlineStr">
        <is>
          <t>AR(1)</t>
        </is>
      </c>
      <c r="D758" s="13" t="n">
        <v>0</v>
      </c>
      <c r="E758" s="13" t="n">
        <v>0.0215356013438545</v>
      </c>
      <c r="F758" s="13" t="n">
        <v>2.5</v>
      </c>
      <c r="G758" s="13">
        <f>D758+F758</f>
        <v/>
      </c>
      <c r="H758" s="13">
        <f>E758+F758</f>
        <v/>
      </c>
      <c r="I758" s="13">
        <f>ABS(D758-E758)</f>
        <v/>
      </c>
      <c r="J758" s="13">
        <f>(D758-E758)^2</f>
        <v/>
      </c>
      <c r="K758" s="14">
        <f>IF(ABS(G758)&lt;=1E-8,"",ABS((G758-H758)/G758))</f>
        <v/>
      </c>
    </row>
    <row r="759">
      <c r="A759" s="11" t="n">
        <v>45657</v>
      </c>
      <c r="B759" s="12" t="inlineStr">
        <is>
          <t>KR</t>
        </is>
      </c>
      <c r="C759" s="12" t="inlineStr">
        <is>
          <t>AR(1)</t>
        </is>
      </c>
      <c r="D759" s="13" t="n">
        <v>0.3000000000000002</v>
      </c>
      <c r="E759" s="13" t="n">
        <v>0.033735104673331</v>
      </c>
      <c r="F759" s="13" t="n">
        <v>2.8</v>
      </c>
      <c r="G759" s="13">
        <f>D759+F759</f>
        <v/>
      </c>
      <c r="H759" s="13">
        <f>E759+F759</f>
        <v/>
      </c>
      <c r="I759" s="13">
        <f>ABS(D759-E759)</f>
        <v/>
      </c>
      <c r="J759" s="13">
        <f>(D759-E759)^2</f>
        <v/>
      </c>
      <c r="K759" s="14">
        <f>IF(ABS(G759)&lt;=1E-8,"",ABS((G759-H759)/G759))</f>
        <v/>
      </c>
    </row>
    <row r="760">
      <c r="A760" s="11" t="n">
        <v>45657</v>
      </c>
      <c r="B760" s="12" t="inlineStr">
        <is>
          <t>US</t>
        </is>
      </c>
      <c r="C760" s="12" t="inlineStr">
        <is>
          <t>AR(1)</t>
        </is>
      </c>
      <c r="D760" s="13" t="n">
        <v>-0.1000000000000005</v>
      </c>
      <c r="E760" s="13" t="n">
        <v>0.095922533942138</v>
      </c>
      <c r="F760" s="13" t="n">
        <v>4.2</v>
      </c>
      <c r="G760" s="13">
        <f>D760+F760</f>
        <v/>
      </c>
      <c r="H760" s="13">
        <f>E760+F760</f>
        <v/>
      </c>
      <c r="I760" s="13">
        <f>ABS(D760-E760)</f>
        <v/>
      </c>
      <c r="J760" s="13">
        <f>(D760-E760)^2</f>
        <v/>
      </c>
      <c r="K760" s="14">
        <f>IF(ABS(G760)&lt;=1E-8,"",ABS((G760-H760)/G760))</f>
        <v/>
      </c>
    </row>
    <row r="761">
      <c r="A761" s="11" t="n">
        <v>45688</v>
      </c>
      <c r="B761" s="12" t="inlineStr">
        <is>
          <t>AU</t>
        </is>
      </c>
      <c r="C761" s="12" t="inlineStr">
        <is>
          <t>AR(1)</t>
        </is>
      </c>
      <c r="D761" s="13" t="n">
        <v>0.1283800000000003</v>
      </c>
      <c r="E761" s="13" t="n">
        <v>0.0567388477061819</v>
      </c>
      <c r="F761" s="13" t="n">
        <v>3.998586</v>
      </c>
      <c r="G761" s="13">
        <f>D761+F761</f>
        <v/>
      </c>
      <c r="H761" s="13">
        <f>E761+F761</f>
        <v/>
      </c>
      <c r="I761" s="13">
        <f>ABS(D761-E761)</f>
        <v/>
      </c>
      <c r="J761" s="13">
        <f>(D761-E761)^2</f>
        <v/>
      </c>
      <c r="K761" s="14">
        <f>IF(ABS(G761)&lt;=1E-8,"",ABS((G761-H761)/G761))</f>
        <v/>
      </c>
    </row>
    <row r="762">
      <c r="A762" s="11" t="n">
        <v>45688</v>
      </c>
      <c r="B762" s="12" t="inlineStr">
        <is>
          <t>CA</t>
        </is>
      </c>
      <c r="C762" s="12" t="inlineStr">
        <is>
          <t>AR(1)</t>
        </is>
      </c>
      <c r="D762" s="13" t="n">
        <v>0</v>
      </c>
      <c r="E762" s="13" t="n">
        <v>0.0335419266798787</v>
      </c>
      <c r="F762" s="13" t="n">
        <v>6.7</v>
      </c>
      <c r="G762" s="13">
        <f>D762+F762</f>
        <v/>
      </c>
      <c r="H762" s="13">
        <f>E762+F762</f>
        <v/>
      </c>
      <c r="I762" s="13">
        <f>ABS(D762-E762)</f>
        <v/>
      </c>
      <c r="J762" s="13">
        <f>(D762-E762)^2</f>
        <v/>
      </c>
      <c r="K762" s="14">
        <f>IF(ABS(G762)&lt;=1E-8,"",ABS((G762-H762)/G762))</f>
        <v/>
      </c>
    </row>
    <row r="763">
      <c r="A763" s="11" t="n">
        <v>45688</v>
      </c>
      <c r="B763" s="12" t="inlineStr">
        <is>
          <t>DE</t>
        </is>
      </c>
      <c r="C763" s="12" t="inlineStr">
        <is>
          <t>AR(1)</t>
        </is>
      </c>
      <c r="D763" s="13" t="n">
        <v>0</v>
      </c>
      <c r="E763" s="13" t="n">
        <v>-0.0103195544736309</v>
      </c>
      <c r="F763" s="13" t="n">
        <v>3.5</v>
      </c>
      <c r="G763" s="13">
        <f>D763+F763</f>
        <v/>
      </c>
      <c r="H763" s="13">
        <f>E763+F763</f>
        <v/>
      </c>
      <c r="I763" s="13">
        <f>ABS(D763-E763)</f>
        <v/>
      </c>
      <c r="J763" s="13">
        <f>(D763-E763)^2</f>
        <v/>
      </c>
      <c r="K763" s="14">
        <f>IF(ABS(G763)&lt;=1E-8,"",ABS((G763-H763)/G763))</f>
        <v/>
      </c>
    </row>
    <row r="764">
      <c r="A764" s="11" t="n">
        <v>45688</v>
      </c>
      <c r="B764" s="12" t="inlineStr">
        <is>
          <t>FR</t>
        </is>
      </c>
      <c r="C764" s="12" t="inlineStr">
        <is>
          <t>AR(1)</t>
        </is>
      </c>
      <c r="D764" s="13" t="n">
        <v>0</v>
      </c>
      <c r="E764" s="13" t="n">
        <v>0.0223301836687941</v>
      </c>
      <c r="F764" s="13" t="n">
        <v>7.3</v>
      </c>
      <c r="G764" s="13">
        <f>D764+F764</f>
        <v/>
      </c>
      <c r="H764" s="13">
        <f>E764+F764</f>
        <v/>
      </c>
      <c r="I764" s="13">
        <f>ABS(D764-E764)</f>
        <v/>
      </c>
      <c r="J764" s="13">
        <f>(D764-E764)^2</f>
        <v/>
      </c>
      <c r="K764" s="14">
        <f>IF(ABS(G764)&lt;=1E-8,"",ABS((G764-H764)/G764))</f>
        <v/>
      </c>
    </row>
    <row r="765">
      <c r="A765" s="11" t="n">
        <v>45688</v>
      </c>
      <c r="B765" s="12" t="inlineStr">
        <is>
          <t>GB</t>
        </is>
      </c>
      <c r="C765" s="12" t="inlineStr">
        <is>
          <t>AR(1)</t>
        </is>
      </c>
      <c r="D765" s="13" t="n">
        <v>0.0999999999999996</v>
      </c>
      <c r="E765" s="13" t="n">
        <v>-0.0094429446041874</v>
      </c>
      <c r="F765" s="13" t="n">
        <v>4.4</v>
      </c>
      <c r="G765" s="13">
        <f>D765+F765</f>
        <v/>
      </c>
      <c r="H765" s="13">
        <f>E765+F765</f>
        <v/>
      </c>
      <c r="I765" s="13">
        <f>ABS(D765-E765)</f>
        <v/>
      </c>
      <c r="J765" s="13">
        <f>(D765-E765)^2</f>
        <v/>
      </c>
      <c r="K765" s="14">
        <f>IF(ABS(G765)&lt;=1E-8,"",ABS((G765-H765)/G765))</f>
        <v/>
      </c>
    </row>
    <row r="766">
      <c r="A766" s="11" t="n">
        <v>45688</v>
      </c>
      <c r="B766" s="12" t="inlineStr">
        <is>
          <t>IT</t>
        </is>
      </c>
      <c r="C766" s="12" t="inlineStr">
        <is>
          <t>AR(1)</t>
        </is>
      </c>
      <c r="D766" s="13" t="n">
        <v>0.0999999999999996</v>
      </c>
      <c r="E766" s="13" t="n">
        <v>0.1694870915384603</v>
      </c>
      <c r="F766" s="13" t="n">
        <v>6.4</v>
      </c>
      <c r="G766" s="13">
        <f>D766+F766</f>
        <v/>
      </c>
      <c r="H766" s="13">
        <f>E766+F766</f>
        <v/>
      </c>
      <c r="I766" s="13">
        <f>ABS(D766-E766)</f>
        <v/>
      </c>
      <c r="J766" s="13">
        <f>(D766-E766)^2</f>
        <v/>
      </c>
      <c r="K766" s="14">
        <f>IF(ABS(G766)&lt;=1E-8,"",ABS((G766-H766)/G766))</f>
        <v/>
      </c>
    </row>
    <row r="767">
      <c r="A767" s="11" t="n">
        <v>45688</v>
      </c>
      <c r="B767" s="12" t="inlineStr">
        <is>
          <t>JP</t>
        </is>
      </c>
      <c r="C767" s="12" t="inlineStr">
        <is>
          <t>AR(1)</t>
        </is>
      </c>
      <c r="D767" s="13" t="n">
        <v>0</v>
      </c>
      <c r="E767" s="13" t="n">
        <v>0.0237638489340499</v>
      </c>
      <c r="F767" s="13" t="n">
        <v>2.5</v>
      </c>
      <c r="G767" s="13">
        <f>D767+F767</f>
        <v/>
      </c>
      <c r="H767" s="13">
        <f>E767+F767</f>
        <v/>
      </c>
      <c r="I767" s="13">
        <f>ABS(D767-E767)</f>
        <v/>
      </c>
      <c r="J767" s="13">
        <f>(D767-E767)^2</f>
        <v/>
      </c>
      <c r="K767" s="14">
        <f>IF(ABS(G767)&lt;=1E-8,"",ABS((G767-H767)/G767))</f>
        <v/>
      </c>
    </row>
    <row r="768">
      <c r="A768" s="11" t="n">
        <v>45688</v>
      </c>
      <c r="B768" s="12" t="inlineStr">
        <is>
          <t>KR</t>
        </is>
      </c>
      <c r="C768" s="12" t="inlineStr">
        <is>
          <t>AR(1)</t>
        </is>
      </c>
      <c r="D768" s="13" t="n">
        <v>-0.3000000000000002</v>
      </c>
      <c r="E768" s="13" t="n">
        <v>0.0051841852916807</v>
      </c>
      <c r="F768" s="13" t="n">
        <v>3.1</v>
      </c>
      <c r="G768" s="13">
        <f>D768+F768</f>
        <v/>
      </c>
      <c r="H768" s="13">
        <f>E768+F768</f>
        <v/>
      </c>
      <c r="I768" s="13">
        <f>ABS(D768-E768)</f>
        <v/>
      </c>
      <c r="J768" s="13">
        <f>(D768-E768)^2</f>
        <v/>
      </c>
      <c r="K768" s="14">
        <f>IF(ABS(G768)&lt;=1E-8,"",ABS((G768-H768)/G768))</f>
        <v/>
      </c>
    </row>
    <row r="769">
      <c r="A769" s="11" t="n">
        <v>45688</v>
      </c>
      <c r="B769" s="12" t="inlineStr">
        <is>
          <t>US</t>
        </is>
      </c>
      <c r="C769" s="12" t="inlineStr">
        <is>
          <t>AR(1)</t>
        </is>
      </c>
      <c r="D769" s="13" t="n">
        <v>-0.0999999999999996</v>
      </c>
      <c r="E769" s="13" t="n">
        <v>0.1080780039827562</v>
      </c>
      <c r="F769" s="13" t="n">
        <v>4.1</v>
      </c>
      <c r="G769" s="13">
        <f>D769+F769</f>
        <v/>
      </c>
      <c r="H769" s="13">
        <f>E769+F769</f>
        <v/>
      </c>
      <c r="I769" s="13">
        <f>ABS(D769-E769)</f>
        <v/>
      </c>
      <c r="J769" s="13">
        <f>(D769-E769)^2</f>
        <v/>
      </c>
      <c r="K769" s="14">
        <f>IF(ABS(G769)&lt;=1E-8,"",ABS((G769-H769)/G769))</f>
        <v/>
      </c>
    </row>
    <row r="770">
      <c r="A770" s="11" t="n">
        <v>45716</v>
      </c>
      <c r="B770" s="12" t="inlineStr">
        <is>
          <t>AU</t>
        </is>
      </c>
      <c r="C770" s="12" t="inlineStr">
        <is>
          <t>AR(1)</t>
        </is>
      </c>
      <c r="D770" s="13" t="n">
        <v>-0.0528409999999999</v>
      </c>
      <c r="E770" s="13" t="n">
        <v>0.0383419921146651</v>
      </c>
      <c r="F770" s="13" t="n">
        <v>4.126966</v>
      </c>
      <c r="G770" s="13">
        <f>D770+F770</f>
        <v/>
      </c>
      <c r="H770" s="13">
        <f>E770+F770</f>
        <v/>
      </c>
      <c r="I770" s="13">
        <f>ABS(D770-E770)</f>
        <v/>
      </c>
      <c r="J770" s="13">
        <f>(D770-E770)^2</f>
        <v/>
      </c>
      <c r="K770" s="14">
        <f>IF(ABS(G770)&lt;=1E-8,"",ABS((G770-H770)/G770))</f>
        <v/>
      </c>
    </row>
    <row r="771">
      <c r="A771" s="11" t="n">
        <v>45716</v>
      </c>
      <c r="B771" s="12" t="inlineStr">
        <is>
          <t>CA</t>
        </is>
      </c>
      <c r="C771" s="12" t="inlineStr">
        <is>
          <t>AR(1)</t>
        </is>
      </c>
      <c r="D771" s="13" t="n">
        <v>-0.1000000000000005</v>
      </c>
      <c r="E771" s="13" t="n">
        <v>0.037448990547594</v>
      </c>
      <c r="F771" s="13" t="n">
        <v>6.7</v>
      </c>
      <c r="G771" s="13">
        <f>D771+F771</f>
        <v/>
      </c>
      <c r="H771" s="13">
        <f>E771+F771</f>
        <v/>
      </c>
      <c r="I771" s="13">
        <f>ABS(D771-E771)</f>
        <v/>
      </c>
      <c r="J771" s="13">
        <f>(D771-E771)^2</f>
        <v/>
      </c>
      <c r="K771" s="14">
        <f>IF(ABS(G771)&lt;=1E-8,"",ABS((G771-H771)/G771))</f>
        <v/>
      </c>
    </row>
    <row r="772">
      <c r="A772" s="11" t="n">
        <v>45716</v>
      </c>
      <c r="B772" s="12" t="inlineStr">
        <is>
          <t>DE</t>
        </is>
      </c>
      <c r="C772" s="12" t="inlineStr">
        <is>
          <t>AR(1)</t>
        </is>
      </c>
      <c r="D772" s="13" t="n">
        <v>0.1</v>
      </c>
      <c r="E772" s="13" t="n">
        <v>-0.0112592866466216</v>
      </c>
      <c r="F772" s="13" t="n">
        <v>3.5</v>
      </c>
      <c r="G772" s="13">
        <f>D772+F772</f>
        <v/>
      </c>
      <c r="H772" s="13">
        <f>E772+F772</f>
        <v/>
      </c>
      <c r="I772" s="13">
        <f>ABS(D772-E772)</f>
        <v/>
      </c>
      <c r="J772" s="13">
        <f>(D772-E772)^2</f>
        <v/>
      </c>
      <c r="K772" s="14">
        <f>IF(ABS(G772)&lt;=1E-8,"",ABS((G772-H772)/G772))</f>
        <v/>
      </c>
    </row>
    <row r="773">
      <c r="A773" s="11" t="n">
        <v>45716</v>
      </c>
      <c r="B773" s="12" t="inlineStr">
        <is>
          <t>FR</t>
        </is>
      </c>
      <c r="C773" s="12" t="inlineStr">
        <is>
          <t>AR(1)</t>
        </is>
      </c>
      <c r="D773" s="13" t="n">
        <v>0.2000000000000001</v>
      </c>
      <c r="E773" s="13" t="n">
        <v>0.0206911170291695</v>
      </c>
      <c r="F773" s="13" t="n">
        <v>7.3</v>
      </c>
      <c r="G773" s="13">
        <f>D773+F773</f>
        <v/>
      </c>
      <c r="H773" s="13">
        <f>E773+F773</f>
        <v/>
      </c>
      <c r="I773" s="13">
        <f>ABS(D773-E773)</f>
        <v/>
      </c>
      <c r="J773" s="13">
        <f>(D773-E773)^2</f>
        <v/>
      </c>
      <c r="K773" s="14">
        <f>IF(ABS(G773)&lt;=1E-8,"",ABS((G773-H773)/G773))</f>
        <v/>
      </c>
    </row>
    <row r="774">
      <c r="A774" s="11" t="n">
        <v>45716</v>
      </c>
      <c r="B774" s="12" t="inlineStr">
        <is>
          <t>GB</t>
        </is>
      </c>
      <c r="C774" s="12" t="inlineStr">
        <is>
          <t>AR(1)</t>
        </is>
      </c>
      <c r="D774" s="13" t="n">
        <v>0.0999999999999996</v>
      </c>
      <c r="E774" s="13" t="n">
        <v>-0.018751177606831</v>
      </c>
      <c r="F774" s="13" t="n">
        <v>4.5</v>
      </c>
      <c r="G774" s="13">
        <f>D774+F774</f>
        <v/>
      </c>
      <c r="H774" s="13">
        <f>E774+F774</f>
        <v/>
      </c>
      <c r="I774" s="13">
        <f>ABS(D774-E774)</f>
        <v/>
      </c>
      <c r="J774" s="13">
        <f>(D774-E774)^2</f>
        <v/>
      </c>
      <c r="K774" s="14">
        <f>IF(ABS(G774)&lt;=1E-8,"",ABS((G774-H774)/G774))</f>
        <v/>
      </c>
    </row>
    <row r="775">
      <c r="A775" s="11" t="n">
        <v>45716</v>
      </c>
      <c r="B775" s="12" t="inlineStr">
        <is>
          <t>IT</t>
        </is>
      </c>
      <c r="C775" s="12" t="inlineStr">
        <is>
          <t>AR(1)</t>
        </is>
      </c>
      <c r="D775" s="13" t="n">
        <v>-0.4000000000000003</v>
      </c>
      <c r="E775" s="13" t="n">
        <v>0.1567297999869845</v>
      </c>
      <c r="F775" s="13" t="n">
        <v>6.5</v>
      </c>
      <c r="G775" s="13">
        <f>D775+F775</f>
        <v/>
      </c>
      <c r="H775" s="13">
        <f>E775+F775</f>
        <v/>
      </c>
      <c r="I775" s="13">
        <f>ABS(D775-E775)</f>
        <v/>
      </c>
      <c r="J775" s="13">
        <f>(D775-E775)^2</f>
        <v/>
      </c>
      <c r="K775" s="14">
        <f>IF(ABS(G775)&lt;=1E-8,"",ABS((G775-H775)/G775))</f>
        <v/>
      </c>
    </row>
    <row r="776">
      <c r="A776" s="11" t="n">
        <v>45716</v>
      </c>
      <c r="B776" s="12" t="inlineStr">
        <is>
          <t>JP</t>
        </is>
      </c>
      <c r="C776" s="12" t="inlineStr">
        <is>
          <t>AR(1)</t>
        </is>
      </c>
      <c r="D776" s="13" t="n">
        <v>-0.1</v>
      </c>
      <c r="E776" s="13" t="n">
        <v>0.0210984970492145</v>
      </c>
      <c r="F776" s="13" t="n">
        <v>2.5</v>
      </c>
      <c r="G776" s="13">
        <f>D776+F776</f>
        <v/>
      </c>
      <c r="H776" s="13">
        <f>E776+F776</f>
        <v/>
      </c>
      <c r="I776" s="13">
        <f>ABS(D776-E776)</f>
        <v/>
      </c>
      <c r="J776" s="13">
        <f>(D776-E776)^2</f>
        <v/>
      </c>
      <c r="K776" s="14">
        <f>IF(ABS(G776)&lt;=1E-8,"",ABS((G776-H776)/G776))</f>
        <v/>
      </c>
    </row>
    <row r="777">
      <c r="A777" s="11" t="n">
        <v>45716</v>
      </c>
      <c r="B777" s="12" t="inlineStr">
        <is>
          <t>KR</t>
        </is>
      </c>
      <c r="C777" s="12" t="inlineStr">
        <is>
          <t>AR(1)</t>
        </is>
      </c>
      <c r="D777" s="13" t="n">
        <v>0</v>
      </c>
      <c r="E777" s="13" t="n">
        <v>0.0367950201049113</v>
      </c>
      <c r="F777" s="13" t="n">
        <v>2.8</v>
      </c>
      <c r="G777" s="13">
        <f>D777+F777</f>
        <v/>
      </c>
      <c r="H777" s="13">
        <f>E777+F777</f>
        <v/>
      </c>
      <c r="I777" s="13">
        <f>ABS(D777-E777)</f>
        <v/>
      </c>
      <c r="J777" s="13">
        <f>(D777-E777)^2</f>
        <v/>
      </c>
      <c r="K777" s="14">
        <f>IF(ABS(G777)&lt;=1E-8,"",ABS((G777-H777)/G777))</f>
        <v/>
      </c>
    </row>
    <row r="778">
      <c r="A778" s="11" t="n">
        <v>45716</v>
      </c>
      <c r="B778" s="12" t="inlineStr">
        <is>
          <t>US</t>
        </is>
      </c>
      <c r="C778" s="12" t="inlineStr">
        <is>
          <t>AR(1)</t>
        </is>
      </c>
      <c r="D778" s="13" t="n">
        <v>0.2000000000000001</v>
      </c>
      <c r="E778" s="13" t="n">
        <v>0.1196885372590369</v>
      </c>
      <c r="F778" s="13" t="n">
        <v>4</v>
      </c>
      <c r="G778" s="13">
        <f>D778+F778</f>
        <v/>
      </c>
      <c r="H778" s="13">
        <f>E778+F778</f>
        <v/>
      </c>
      <c r="I778" s="13">
        <f>ABS(D778-E778)</f>
        <v/>
      </c>
      <c r="J778" s="13">
        <f>(D778-E778)^2</f>
        <v/>
      </c>
      <c r="K778" s="14">
        <f>IF(ABS(G778)&lt;=1E-8,"",ABS((G778-H778)/G778))</f>
        <v/>
      </c>
    </row>
    <row r="779">
      <c r="A779" s="11" t="n">
        <v>45747</v>
      </c>
      <c r="B779" s="12" t="inlineStr">
        <is>
          <t>AU</t>
        </is>
      </c>
      <c r="C779" s="12" t="inlineStr">
        <is>
          <t>AR(1)</t>
        </is>
      </c>
      <c r="D779" s="13" t="n">
        <v>0.0085119999999996</v>
      </c>
      <c r="E779" s="13" t="n">
        <v>0.0432262782137559</v>
      </c>
      <c r="F779" s="13" t="n">
        <v>4.074125</v>
      </c>
      <c r="G779" s="13">
        <f>D779+F779</f>
        <v/>
      </c>
      <c r="H779" s="13">
        <f>E779+F779</f>
        <v/>
      </c>
      <c r="I779" s="13">
        <f>ABS(D779-E779)</f>
        <v/>
      </c>
      <c r="J779" s="13">
        <f>(D779-E779)^2</f>
        <v/>
      </c>
      <c r="K779" s="14">
        <f>IF(ABS(G779)&lt;=1E-8,"",ABS((G779-H779)/G779))</f>
        <v/>
      </c>
    </row>
    <row r="780">
      <c r="A780" s="11" t="n">
        <v>45747</v>
      </c>
      <c r="B780" s="12" t="inlineStr">
        <is>
          <t>CA</t>
        </is>
      </c>
      <c r="C780" s="12" t="inlineStr">
        <is>
          <t>AR(1)</t>
        </is>
      </c>
      <c r="D780" s="13" t="n">
        <v>0.2000000000000001</v>
      </c>
      <c r="E780" s="13" t="n">
        <v>0.0447687352165539</v>
      </c>
      <c r="F780" s="13" t="n">
        <v>6.6</v>
      </c>
      <c r="G780" s="13">
        <f>D780+F780</f>
        <v/>
      </c>
      <c r="H780" s="13">
        <f>E780+F780</f>
        <v/>
      </c>
      <c r="I780" s="13">
        <f>ABS(D780-E780)</f>
        <v/>
      </c>
      <c r="J780" s="13">
        <f>(D780-E780)^2</f>
        <v/>
      </c>
      <c r="K780" s="14">
        <f>IF(ABS(G780)&lt;=1E-8,"",ABS((G780-H780)/G780))</f>
        <v/>
      </c>
    </row>
    <row r="781">
      <c r="A781" s="11" t="n">
        <v>45747</v>
      </c>
      <c r="B781" s="12" t="inlineStr">
        <is>
          <t>DE</t>
        </is>
      </c>
      <c r="C781" s="12" t="inlineStr">
        <is>
          <t>AR(1)</t>
        </is>
      </c>
      <c r="D781" s="13" t="n">
        <v>0</v>
      </c>
      <c r="E781" s="13" t="n">
        <v>-0.0223095053860482</v>
      </c>
      <c r="F781" s="13" t="n">
        <v>3.6</v>
      </c>
      <c r="G781" s="13">
        <f>D781+F781</f>
        <v/>
      </c>
      <c r="H781" s="13">
        <f>E781+F781</f>
        <v/>
      </c>
      <c r="I781" s="13">
        <f>ABS(D781-E781)</f>
        <v/>
      </c>
      <c r="J781" s="13">
        <f>(D781-E781)^2</f>
        <v/>
      </c>
      <c r="K781" s="14">
        <f>IF(ABS(G781)&lt;=1E-8,"",ABS((G781-H781)/G781))</f>
        <v/>
      </c>
    </row>
    <row r="782">
      <c r="A782" s="11" t="n">
        <v>45747</v>
      </c>
      <c r="B782" s="12" t="inlineStr">
        <is>
          <t>FR</t>
        </is>
      </c>
      <c r="C782" s="12" t="inlineStr">
        <is>
          <t>AR(1)</t>
        </is>
      </c>
      <c r="D782" s="13" t="n">
        <v>0.0999999999999996</v>
      </c>
      <c r="E782" s="13" t="n">
        <v>0.0050200343502765</v>
      </c>
      <c r="F782" s="13" t="n">
        <v>7.5</v>
      </c>
      <c r="G782" s="13">
        <f>D782+F782</f>
        <v/>
      </c>
      <c r="H782" s="13">
        <f>E782+F782</f>
        <v/>
      </c>
      <c r="I782" s="13">
        <f>ABS(D782-E782)</f>
        <v/>
      </c>
      <c r="J782" s="13">
        <f>(D782-E782)^2</f>
        <v/>
      </c>
      <c r="K782" s="14">
        <f>IF(ABS(G782)&lt;=1E-8,"",ABS((G782-H782)/G782))</f>
        <v/>
      </c>
    </row>
    <row r="783">
      <c r="A783" s="11" t="n">
        <v>45747</v>
      </c>
      <c r="B783" s="12" t="inlineStr">
        <is>
          <t>GB</t>
        </is>
      </c>
      <c r="C783" s="12" t="inlineStr">
        <is>
          <t>AR(1)</t>
        </is>
      </c>
      <c r="D783" s="13" t="n">
        <v>0</v>
      </c>
      <c r="E783" s="13" t="n">
        <v>-0.0307644477589226</v>
      </c>
      <c r="F783" s="13" t="n">
        <v>4.6</v>
      </c>
      <c r="G783" s="13">
        <f>D783+F783</f>
        <v/>
      </c>
      <c r="H783" s="13">
        <f>E783+F783</f>
        <v/>
      </c>
      <c r="I783" s="13">
        <f>ABS(D783-E783)</f>
        <v/>
      </c>
      <c r="J783" s="13">
        <f>(D783-E783)^2</f>
        <v/>
      </c>
      <c r="K783" s="14">
        <f>IF(ABS(G783)&lt;=1E-8,"",ABS((G783-H783)/G783))</f>
        <v/>
      </c>
    </row>
    <row r="784">
      <c r="A784" s="11" t="n">
        <v>45747</v>
      </c>
      <c r="B784" s="12" t="inlineStr">
        <is>
          <t>IT</t>
        </is>
      </c>
      <c r="C784" s="12" t="inlineStr">
        <is>
          <t>AR(1)</t>
        </is>
      </c>
      <c r="D784" s="13" t="n">
        <v>0.2000000000000001</v>
      </c>
      <c r="E784" s="13" t="n">
        <v>0.1908871231636969</v>
      </c>
      <c r="F784" s="13" t="n">
        <v>6.1</v>
      </c>
      <c r="G784" s="13">
        <f>D784+F784</f>
        <v/>
      </c>
      <c r="H784" s="13">
        <f>E784+F784</f>
        <v/>
      </c>
      <c r="I784" s="13">
        <f>ABS(D784-E784)</f>
        <v/>
      </c>
      <c r="J784" s="13">
        <f>(D784-E784)^2</f>
        <v/>
      </c>
      <c r="K784" s="14">
        <f>IF(ABS(G784)&lt;=1E-8,"",ABS((G784-H784)/G784))</f>
        <v/>
      </c>
    </row>
    <row r="785">
      <c r="A785" s="11" t="n">
        <v>45747</v>
      </c>
      <c r="B785" s="12" t="inlineStr">
        <is>
          <t>JP</t>
        </is>
      </c>
      <c r="C785" s="12" t="inlineStr">
        <is>
          <t>AR(1)</t>
        </is>
      </c>
      <c r="D785" s="13" t="n">
        <v>0.1</v>
      </c>
      <c r="E785" s="13" t="n">
        <v>0.0312389306214505</v>
      </c>
      <c r="F785" s="13" t="n">
        <v>2.4</v>
      </c>
      <c r="G785" s="13">
        <f>D785+F785</f>
        <v/>
      </c>
      <c r="H785" s="13">
        <f>E785+F785</f>
        <v/>
      </c>
      <c r="I785" s="13">
        <f>ABS(D785-E785)</f>
        <v/>
      </c>
      <c r="J785" s="13">
        <f>(D785-E785)^2</f>
        <v/>
      </c>
      <c r="K785" s="14">
        <f>IF(ABS(G785)&lt;=1E-8,"",ABS((G785-H785)/G785))</f>
        <v/>
      </c>
    </row>
    <row r="786">
      <c r="A786" s="11" t="n">
        <v>45747</v>
      </c>
      <c r="B786" s="12" t="inlineStr">
        <is>
          <t>KR</t>
        </is>
      </c>
      <c r="C786" s="12" t="inlineStr">
        <is>
          <t>AR(1)</t>
        </is>
      </c>
      <c r="D786" s="13" t="n">
        <v>0</v>
      </c>
      <c r="E786" s="13" t="n">
        <v>0.0351883902071297</v>
      </c>
      <c r="F786" s="13" t="n">
        <v>2.8</v>
      </c>
      <c r="G786" s="13">
        <f>D786+F786</f>
        <v/>
      </c>
      <c r="H786" s="13">
        <f>E786+F786</f>
        <v/>
      </c>
      <c r="I786" s="13">
        <f>ABS(D786-E786)</f>
        <v/>
      </c>
      <c r="J786" s="13">
        <f>(D786-E786)^2</f>
        <v/>
      </c>
      <c r="K786" s="14">
        <f>IF(ABS(G786)&lt;=1E-8,"",ABS((G786-H786)/G786))</f>
        <v/>
      </c>
    </row>
    <row r="787">
      <c r="A787" s="11" t="n">
        <v>45747</v>
      </c>
      <c r="B787" s="12" t="inlineStr">
        <is>
          <t>US</t>
        </is>
      </c>
      <c r="C787" s="12" t="inlineStr">
        <is>
          <t>AR(1)</t>
        </is>
      </c>
      <c r="D787" s="13" t="n">
        <v>0</v>
      </c>
      <c r="E787" s="13" t="n">
        <v>0.1008646195103054</v>
      </c>
      <c r="F787" s="13" t="n">
        <v>4.2</v>
      </c>
      <c r="G787" s="13">
        <f>D787+F787</f>
        <v/>
      </c>
      <c r="H787" s="13">
        <f>E787+F787</f>
        <v/>
      </c>
      <c r="I787" s="13">
        <f>ABS(D787-E787)</f>
        <v/>
      </c>
      <c r="J787" s="13">
        <f>(D787-E787)^2</f>
        <v/>
      </c>
      <c r="K787" s="14">
        <f>IF(ABS(G787)&lt;=1E-8,"",ABS((G787-H787)/G787))</f>
        <v/>
      </c>
    </row>
    <row r="788">
      <c r="A788" s="11" t="n">
        <v>45777</v>
      </c>
      <c r="B788" s="12" t="inlineStr">
        <is>
          <t>AU</t>
        </is>
      </c>
      <c r="C788" s="12" t="inlineStr">
        <is>
          <t>AR(1)</t>
        </is>
      </c>
      <c r="D788" s="13" t="n">
        <v>-0.0279340000000001</v>
      </c>
      <c r="E788" s="13" t="n">
        <v>0.0352636782110936</v>
      </c>
      <c r="F788" s="13" t="n">
        <v>4.082637</v>
      </c>
      <c r="G788" s="13">
        <f>D788+F788</f>
        <v/>
      </c>
      <c r="H788" s="13">
        <f>E788+F788</f>
        <v/>
      </c>
      <c r="I788" s="13">
        <f>ABS(D788-E788)</f>
        <v/>
      </c>
      <c r="J788" s="13">
        <f>(D788-E788)^2</f>
        <v/>
      </c>
      <c r="K788" s="14">
        <f>IF(ABS(G788)&lt;=1E-8,"",ABS((G788-H788)/G788))</f>
        <v/>
      </c>
    </row>
    <row r="789">
      <c r="A789" s="11" t="n">
        <v>45777</v>
      </c>
      <c r="B789" s="12" t="inlineStr">
        <is>
          <t>CA</t>
        </is>
      </c>
      <c r="C789" s="12" t="inlineStr">
        <is>
          <t>AR(1)</t>
        </is>
      </c>
      <c r="D789" s="13" t="n">
        <v>0.1000000000000005</v>
      </c>
      <c r="E789" s="13" t="n">
        <v>-0.0194989938744714</v>
      </c>
      <c r="F789" s="13" t="n">
        <v>6.8</v>
      </c>
      <c r="G789" s="13">
        <f>D789+F789</f>
        <v/>
      </c>
      <c r="H789" s="13">
        <f>E789+F789</f>
        <v/>
      </c>
      <c r="I789" s="13">
        <f>ABS(D789-E789)</f>
        <v/>
      </c>
      <c r="J789" s="13">
        <f>(D789-E789)^2</f>
        <v/>
      </c>
      <c r="K789" s="14">
        <f>IF(ABS(G789)&lt;=1E-8,"",ABS((G789-H789)/G789))</f>
        <v/>
      </c>
    </row>
    <row r="790">
      <c r="A790" s="11" t="n">
        <v>45777</v>
      </c>
      <c r="B790" s="12" t="inlineStr">
        <is>
          <t>DE</t>
        </is>
      </c>
      <c r="C790" s="12" t="inlineStr">
        <is>
          <t>AR(1)</t>
        </is>
      </c>
      <c r="D790" s="13" t="n">
        <v>0.1</v>
      </c>
      <c r="E790" s="13" t="n">
        <v>-0.0216972951334425</v>
      </c>
      <c r="F790" s="13" t="n">
        <v>3.6</v>
      </c>
      <c r="G790" s="13">
        <f>D790+F790</f>
        <v/>
      </c>
      <c r="H790" s="13">
        <f>E790+F790</f>
        <v/>
      </c>
      <c r="I790" s="13">
        <f>ABS(D790-E790)</f>
        <v/>
      </c>
      <c r="J790" s="13">
        <f>(D790-E790)^2</f>
        <v/>
      </c>
      <c r="K790" s="14">
        <f>IF(ABS(G790)&lt;=1E-8,"",ABS((G790-H790)/G790))</f>
        <v/>
      </c>
    </row>
    <row r="791">
      <c r="A791" s="11" t="n">
        <v>45777</v>
      </c>
      <c r="B791" s="12" t="inlineStr">
        <is>
          <t>FR</t>
        </is>
      </c>
      <c r="C791" s="12" t="inlineStr">
        <is>
          <t>AR(1)</t>
        </is>
      </c>
      <c r="D791" s="13" t="n">
        <v>-0.0999999999999996</v>
      </c>
      <c r="E791" s="13" t="n">
        <v>-0.0022085848647153</v>
      </c>
      <c r="F791" s="13" t="n">
        <v>7.6</v>
      </c>
      <c r="G791" s="13">
        <f>D791+F791</f>
        <v/>
      </c>
      <c r="H791" s="13">
        <f>E791+F791</f>
        <v/>
      </c>
      <c r="I791" s="13">
        <f>ABS(D791-E791)</f>
        <v/>
      </c>
      <c r="J791" s="13">
        <f>(D791-E791)^2</f>
        <v/>
      </c>
      <c r="K791" s="14">
        <f>IF(ABS(G791)&lt;=1E-8,"",ABS((G791-H791)/G791))</f>
        <v/>
      </c>
    </row>
    <row r="792">
      <c r="A792" s="11" t="n">
        <v>45777</v>
      </c>
      <c r="B792" s="12" t="inlineStr">
        <is>
          <t>GB</t>
        </is>
      </c>
      <c r="C792" s="12" t="inlineStr">
        <is>
          <t>AR(1)</t>
        </is>
      </c>
      <c r="D792" s="13" t="n">
        <v>0.1000000000000005</v>
      </c>
      <c r="E792" s="13" t="n">
        <v>-0.0273721219795676</v>
      </c>
      <c r="F792" s="13" t="n">
        <v>4.6</v>
      </c>
      <c r="G792" s="13">
        <f>D792+F792</f>
        <v/>
      </c>
      <c r="H792" s="13">
        <f>E792+F792</f>
        <v/>
      </c>
      <c r="I792" s="13">
        <f>ABS(D792-E792)</f>
        <v/>
      </c>
      <c r="J792" s="13">
        <f>(D792-E792)^2</f>
        <v/>
      </c>
      <c r="K792" s="14">
        <f>IF(ABS(G792)&lt;=1E-8,"",ABS((G792-H792)/G792))</f>
        <v/>
      </c>
    </row>
    <row r="793">
      <c r="A793" s="11" t="n">
        <v>45777</v>
      </c>
      <c r="B793" s="12" t="inlineStr">
        <is>
          <t>IT</t>
        </is>
      </c>
      <c r="C793" s="12" t="inlineStr">
        <is>
          <t>AR(1)</t>
        </is>
      </c>
      <c r="D793" s="13" t="n">
        <v>-0.0999999999999996</v>
      </c>
      <c r="E793" s="13" t="n">
        <v>0.1818912383646134</v>
      </c>
      <c r="F793" s="13" t="n">
        <v>6.3</v>
      </c>
      <c r="G793" s="13">
        <f>D793+F793</f>
        <v/>
      </c>
      <c r="H793" s="13">
        <f>E793+F793</f>
        <v/>
      </c>
      <c r="I793" s="13">
        <f>ABS(D793-E793)</f>
        <v/>
      </c>
      <c r="J793" s="13">
        <f>(D793-E793)^2</f>
        <v/>
      </c>
      <c r="K793" s="14">
        <f>IF(ABS(G793)&lt;=1E-8,"",ABS((G793-H793)/G793))</f>
        <v/>
      </c>
    </row>
    <row r="794">
      <c r="A794" s="11" t="n">
        <v>45777</v>
      </c>
      <c r="B794" s="12" t="inlineStr">
        <is>
          <t>JP</t>
        </is>
      </c>
      <c r="C794" s="12" t="inlineStr">
        <is>
          <t>AR(1)</t>
        </is>
      </c>
      <c r="D794" s="13" t="n">
        <v>0</v>
      </c>
      <c r="E794" s="13" t="n">
        <v>0.0182208251339026</v>
      </c>
      <c r="F794" s="13" t="n">
        <v>2.5</v>
      </c>
      <c r="G794" s="13">
        <f>D794+F794</f>
        <v/>
      </c>
      <c r="H794" s="13">
        <f>E794+F794</f>
        <v/>
      </c>
      <c r="I794" s="13">
        <f>ABS(D794-E794)</f>
        <v/>
      </c>
      <c r="J794" s="13">
        <f>(D794-E794)^2</f>
        <v/>
      </c>
      <c r="K794" s="14">
        <f>IF(ABS(G794)&lt;=1E-8,"",ABS((G794-H794)/G794))</f>
        <v/>
      </c>
    </row>
    <row r="795">
      <c r="A795" s="11" t="n">
        <v>45777</v>
      </c>
      <c r="B795" s="12" t="inlineStr">
        <is>
          <t>KR</t>
        </is>
      </c>
      <c r="C795" s="12" t="inlineStr">
        <is>
          <t>AR(1)</t>
        </is>
      </c>
      <c r="D795" s="13" t="n">
        <v>-0.0999999999999996</v>
      </c>
      <c r="E795" s="13" t="n">
        <v>0.022893584141356</v>
      </c>
      <c r="F795" s="13" t="n">
        <v>2.8</v>
      </c>
      <c r="G795" s="13">
        <f>D795+F795</f>
        <v/>
      </c>
      <c r="H795" s="13">
        <f>E795+F795</f>
        <v/>
      </c>
      <c r="I795" s="13">
        <f>ABS(D795-E795)</f>
        <v/>
      </c>
      <c r="J795" s="13">
        <f>(D795-E795)^2</f>
        <v/>
      </c>
      <c r="K795" s="14">
        <f>IF(ABS(G795)&lt;=1E-8,"",ABS((G795-H795)/G795))</f>
        <v/>
      </c>
    </row>
    <row r="796">
      <c r="A796" s="11" t="n">
        <v>45777</v>
      </c>
      <c r="B796" s="12" t="inlineStr">
        <is>
          <t>US</t>
        </is>
      </c>
      <c r="C796" s="12" t="inlineStr">
        <is>
          <t>AR(1)</t>
        </is>
      </c>
      <c r="D796" s="13" t="n">
        <v>0</v>
      </c>
      <c r="E796" s="13" t="n">
        <v>0.0815131352194875</v>
      </c>
      <c r="F796" s="13" t="n">
        <v>4.2</v>
      </c>
      <c r="G796" s="13">
        <f>D796+F796</f>
        <v/>
      </c>
      <c r="H796" s="13">
        <f>E796+F796</f>
        <v/>
      </c>
      <c r="I796" s="13">
        <f>ABS(D796-E796)</f>
        <v/>
      </c>
      <c r="J796" s="13">
        <f>(D796-E796)^2</f>
        <v/>
      </c>
      <c r="K796" s="14">
        <f>IF(ABS(G796)&lt;=1E-8,"",ABS((G796-H796)/G796))</f>
        <v/>
      </c>
    </row>
    <row r="797">
      <c r="A797" s="11" t="n">
        <v>45808</v>
      </c>
      <c r="B797" s="12" t="inlineStr">
        <is>
          <t>AU</t>
        </is>
      </c>
      <c r="C797" s="12" t="inlineStr">
        <is>
          <t>AR(1)</t>
        </is>
      </c>
      <c r="D797" s="13" t="n">
        <v>0.0466550000000003</v>
      </c>
      <c r="E797" s="13" t="n">
        <v>0.0194021873038218</v>
      </c>
      <c r="F797" s="13" t="n">
        <v>4.054703</v>
      </c>
      <c r="G797" s="13">
        <f>D797+F797</f>
        <v/>
      </c>
      <c r="H797" s="13">
        <f>E797+F797</f>
        <v/>
      </c>
      <c r="I797" s="13">
        <f>ABS(D797-E797)</f>
        <v/>
      </c>
      <c r="J797" s="13">
        <f>(D797-E797)^2</f>
        <v/>
      </c>
      <c r="K797" s="14">
        <f>IF(ABS(G797)&lt;=1E-8,"",ABS((G797-H797)/G797))</f>
        <v/>
      </c>
    </row>
    <row r="798">
      <c r="A798" s="11" t="n">
        <v>45808</v>
      </c>
      <c r="B798" s="12" t="inlineStr">
        <is>
          <t>CA</t>
        </is>
      </c>
      <c r="C798" s="12" t="inlineStr">
        <is>
          <t>AR(1)</t>
        </is>
      </c>
      <c r="D798" s="13" t="n">
        <v>0.0999999999999996</v>
      </c>
      <c r="E798" s="13" t="n">
        <v>-0.1188609728765808</v>
      </c>
      <c r="F798" s="13" t="n">
        <v>6.9</v>
      </c>
      <c r="G798" s="13">
        <f>D798+F798</f>
        <v/>
      </c>
      <c r="H798" s="13">
        <f>E798+F798</f>
        <v/>
      </c>
      <c r="I798" s="13">
        <f>ABS(D798-E798)</f>
        <v/>
      </c>
      <c r="J798" s="13">
        <f>(D798-E798)^2</f>
        <v/>
      </c>
      <c r="K798" s="14">
        <f>IF(ABS(G798)&lt;=1E-8,"",ABS((G798-H798)/G798))</f>
        <v/>
      </c>
    </row>
    <row r="799">
      <c r="A799" s="11" t="n">
        <v>45808</v>
      </c>
      <c r="B799" s="12" t="inlineStr">
        <is>
          <t>DE</t>
        </is>
      </c>
      <c r="C799" s="12" t="inlineStr">
        <is>
          <t>AR(1)</t>
        </is>
      </c>
      <c r="D799" s="13" t="n">
        <v>0</v>
      </c>
      <c r="E799" s="13" t="n">
        <v>-0.0336446691283925</v>
      </c>
      <c r="F799" s="13" t="n">
        <v>3.7</v>
      </c>
      <c r="G799" s="13">
        <f>D799+F799</f>
        <v/>
      </c>
      <c r="H799" s="13">
        <f>E799+F799</f>
        <v/>
      </c>
      <c r="I799" s="13">
        <f>ABS(D799-E799)</f>
        <v/>
      </c>
      <c r="J799" s="13">
        <f>(D799-E799)^2</f>
        <v/>
      </c>
      <c r="K799" s="14">
        <f>IF(ABS(G799)&lt;=1E-8,"",ABS((G799-H799)/G799))</f>
        <v/>
      </c>
    </row>
    <row r="800">
      <c r="A800" s="11" t="n">
        <v>45808</v>
      </c>
      <c r="B800" s="12" t="inlineStr">
        <is>
          <t>FR</t>
        </is>
      </c>
      <c r="C800" s="12" t="inlineStr">
        <is>
          <t>AR(1)</t>
        </is>
      </c>
      <c r="D800" s="13" t="n">
        <v>0.0999999999999996</v>
      </c>
      <c r="E800" s="13" t="n">
        <v>0.0074825298187087</v>
      </c>
      <c r="F800" s="13" t="n">
        <v>7.5</v>
      </c>
      <c r="G800" s="13">
        <f>D800+F800</f>
        <v/>
      </c>
      <c r="H800" s="13">
        <f>E800+F800</f>
        <v/>
      </c>
      <c r="I800" s="13">
        <f>ABS(D800-E800)</f>
        <v/>
      </c>
      <c r="J800" s="13">
        <f>(D800-E800)^2</f>
        <v/>
      </c>
      <c r="K800" s="14">
        <f>IF(ABS(G800)&lt;=1E-8,"",ABS((G800-H800)/G800))</f>
        <v/>
      </c>
    </row>
    <row r="801">
      <c r="A801" s="11" t="n">
        <v>45808</v>
      </c>
      <c r="B801" s="12" t="inlineStr">
        <is>
          <t>GB</t>
        </is>
      </c>
      <c r="C801" s="12" t="inlineStr">
        <is>
          <t>AR(1)</t>
        </is>
      </c>
      <c r="D801" s="13" t="n">
        <v>0</v>
      </c>
      <c r="E801" s="13" t="n">
        <v>-0.0374614567678852</v>
      </c>
      <c r="F801" s="13" t="n">
        <v>4.7</v>
      </c>
      <c r="G801" s="13">
        <f>D801+F801</f>
        <v/>
      </c>
      <c r="H801" s="13">
        <f>E801+F801</f>
        <v/>
      </c>
      <c r="I801" s="13">
        <f>ABS(D801-E801)</f>
        <v/>
      </c>
      <c r="J801" s="13">
        <f>(D801-E801)^2</f>
        <v/>
      </c>
      <c r="K801" s="14">
        <f>IF(ABS(G801)&lt;=1E-8,"",ABS((G801-H801)/G801))</f>
        <v/>
      </c>
    </row>
    <row r="802">
      <c r="A802" s="11" t="n">
        <v>45808</v>
      </c>
      <c r="B802" s="12" t="inlineStr">
        <is>
          <t>IT</t>
        </is>
      </c>
      <c r="C802" s="12" t="inlineStr">
        <is>
          <t>AR(1)</t>
        </is>
      </c>
      <c r="D802" s="13" t="n">
        <v>0.2000000000000001</v>
      </c>
      <c r="E802" s="13" t="n">
        <v>0.1947713239091229</v>
      </c>
      <c r="F802" s="13" t="n">
        <v>6.2</v>
      </c>
      <c r="G802" s="13">
        <f>D802+F802</f>
        <v/>
      </c>
      <c r="H802" s="13">
        <f>E802+F802</f>
        <v/>
      </c>
      <c r="I802" s="13">
        <f>ABS(D802-E802)</f>
        <v/>
      </c>
      <c r="J802" s="13">
        <f>(D802-E802)^2</f>
        <v/>
      </c>
      <c r="K802" s="14">
        <f>IF(ABS(G802)&lt;=1E-8,"",ABS((G802-H802)/G802))</f>
        <v/>
      </c>
    </row>
    <row r="803">
      <c r="A803" s="11" t="n">
        <v>45808</v>
      </c>
      <c r="B803" s="12" t="inlineStr">
        <is>
          <t>JP</t>
        </is>
      </c>
      <c r="C803" s="12" t="inlineStr">
        <is>
          <t>AR(1)</t>
        </is>
      </c>
      <c r="D803" s="13" t="n">
        <v>0</v>
      </c>
      <c r="E803" s="13" t="n">
        <v>0.0172035510844201</v>
      </c>
      <c r="F803" s="13" t="n">
        <v>2.5</v>
      </c>
      <c r="G803" s="13">
        <f>D803+F803</f>
        <v/>
      </c>
      <c r="H803" s="13">
        <f>E803+F803</f>
        <v/>
      </c>
      <c r="I803" s="13">
        <f>ABS(D803-E803)</f>
        <v/>
      </c>
      <c r="J803" s="13">
        <f>(D803-E803)^2</f>
        <v/>
      </c>
      <c r="K803" s="14">
        <f>IF(ABS(G803)&lt;=1E-8,"",ABS((G803-H803)/G803))</f>
        <v/>
      </c>
    </row>
    <row r="804">
      <c r="A804" s="11" t="n">
        <v>45808</v>
      </c>
      <c r="B804" s="12" t="inlineStr">
        <is>
          <t>KR</t>
        </is>
      </c>
      <c r="C804" s="12" t="inlineStr">
        <is>
          <t>AR(1)</t>
        </is>
      </c>
      <c r="D804" s="13" t="n">
        <v>0</v>
      </c>
      <c r="E804" s="13" t="n">
        <v>0.0320360550105727</v>
      </c>
      <c r="F804" s="13" t="n">
        <v>2.7</v>
      </c>
      <c r="G804" s="13">
        <f>D804+F804</f>
        <v/>
      </c>
      <c r="H804" s="13">
        <f>E804+F804</f>
        <v/>
      </c>
      <c r="I804" s="13">
        <f>ABS(D804-E804)</f>
        <v/>
      </c>
      <c r="J804" s="13">
        <f>(D804-E804)^2</f>
        <v/>
      </c>
      <c r="K804" s="14">
        <f>IF(ABS(G804)&lt;=1E-8,"",ABS((G804-H804)/G804))</f>
        <v/>
      </c>
    </row>
    <row r="805">
      <c r="A805" s="11" t="n">
        <v>45808</v>
      </c>
      <c r="B805" s="12" t="inlineStr">
        <is>
          <t>US</t>
        </is>
      </c>
      <c r="C805" s="12" t="inlineStr">
        <is>
          <t>AR(1)</t>
        </is>
      </c>
      <c r="D805" s="13" t="n">
        <v>0.0999999999999996</v>
      </c>
      <c r="E805" s="13" t="n">
        <v>-0.0891774752752639</v>
      </c>
      <c r="F805" s="13" t="n">
        <v>4.2</v>
      </c>
      <c r="G805" s="13">
        <f>D805+F805</f>
        <v/>
      </c>
      <c r="H805" s="13">
        <f>E805+F805</f>
        <v/>
      </c>
      <c r="I805" s="13">
        <f>ABS(D805-E805)</f>
        <v/>
      </c>
      <c r="J805" s="13">
        <f>(D805-E805)^2</f>
        <v/>
      </c>
      <c r="K805" s="14">
        <f>IF(ABS(G805)&lt;=1E-8,"",ABS((G805-H805)/G805))</f>
        <v/>
      </c>
    </row>
    <row r="806">
      <c r="A806" s="11" t="n">
        <v>45838</v>
      </c>
      <c r="B806" s="12" t="inlineStr">
        <is>
          <t>AU</t>
        </is>
      </c>
      <c r="C806" s="12" t="inlineStr">
        <is>
          <t>AR(1)</t>
        </is>
      </c>
      <c r="D806" s="13" t="n">
        <v>0.2165059999999998</v>
      </c>
      <c r="E806" s="13" t="n">
        <v>0.0043320532704442</v>
      </c>
      <c r="F806" s="13" t="n">
        <v>4.101358</v>
      </c>
      <c r="G806" s="13">
        <f>D806+F806</f>
        <v/>
      </c>
      <c r="H806" s="13">
        <f>E806+F806</f>
        <v/>
      </c>
      <c r="I806" s="13">
        <f>ABS(D806-E806)</f>
        <v/>
      </c>
      <c r="J806" s="13">
        <f>(D806-E806)^2</f>
        <v/>
      </c>
      <c r="K806" s="14">
        <f>IF(ABS(G806)&lt;=1E-8,"",ABS((G806-H806)/G806))</f>
        <v/>
      </c>
    </row>
    <row r="807">
      <c r="A807" s="11" t="n">
        <v>45838</v>
      </c>
      <c r="B807" s="12" t="inlineStr">
        <is>
          <t>CA</t>
        </is>
      </c>
      <c r="C807" s="12" t="inlineStr">
        <is>
          <t>AR(1)</t>
        </is>
      </c>
      <c r="D807" s="13" t="n">
        <v>-0.0999999999999996</v>
      </c>
      <c r="E807" s="13" t="n">
        <v>-0.1532684655599678</v>
      </c>
      <c r="F807" s="13" t="n">
        <v>7</v>
      </c>
      <c r="G807" s="13">
        <f>D807+F807</f>
        <v/>
      </c>
      <c r="H807" s="13">
        <f>E807+F807</f>
        <v/>
      </c>
      <c r="I807" s="13">
        <f>ABS(D807-E807)</f>
        <v/>
      </c>
      <c r="J807" s="13">
        <f>(D807-E807)^2</f>
        <v/>
      </c>
      <c r="K807" s="14">
        <f>IF(ABS(G807)&lt;=1E-8,"",ABS((G807-H807)/G807))</f>
        <v/>
      </c>
    </row>
    <row r="808">
      <c r="A808" s="11" t="n">
        <v>45838</v>
      </c>
      <c r="B808" s="12" t="inlineStr">
        <is>
          <t>DE</t>
        </is>
      </c>
      <c r="C808" s="12" t="inlineStr">
        <is>
          <t>AR(1)</t>
        </is>
      </c>
      <c r="D808" s="13" t="n">
        <v>0</v>
      </c>
      <c r="E808" s="13" t="n">
        <v>-0.0406850024682411</v>
      </c>
      <c r="F808" s="13" t="n">
        <v>3.7</v>
      </c>
      <c r="G808" s="13">
        <f>D808+F808</f>
        <v/>
      </c>
      <c r="H808" s="13">
        <f>E808+F808</f>
        <v/>
      </c>
      <c r="I808" s="13">
        <f>ABS(D808-E808)</f>
        <v/>
      </c>
      <c r="J808" s="13">
        <f>(D808-E808)^2</f>
        <v/>
      </c>
      <c r="K808" s="14">
        <f>IF(ABS(G808)&lt;=1E-8,"",ABS((G808-H808)/G808))</f>
        <v/>
      </c>
    </row>
    <row r="809">
      <c r="A809" s="11" t="n">
        <v>45838</v>
      </c>
      <c r="B809" s="12" t="inlineStr">
        <is>
          <t>FR</t>
        </is>
      </c>
      <c r="C809" s="12" t="inlineStr">
        <is>
          <t>AR(1)</t>
        </is>
      </c>
      <c r="D809" s="13" t="n">
        <v>0.1000000000000005</v>
      </c>
      <c r="E809" s="13" t="n">
        <v>0.008911952957879599</v>
      </c>
      <c r="F809" s="13" t="n">
        <v>7.6</v>
      </c>
      <c r="G809" s="13">
        <f>D809+F809</f>
        <v/>
      </c>
      <c r="H809" s="13">
        <f>E809+F809</f>
        <v/>
      </c>
      <c r="I809" s="13">
        <f>ABS(D809-E809)</f>
        <v/>
      </c>
      <c r="J809" s="13">
        <f>(D809-E809)^2</f>
        <v/>
      </c>
      <c r="K809" s="14">
        <f>IF(ABS(G809)&lt;=1E-8,"",ABS((G809-H809)/G809))</f>
        <v/>
      </c>
    </row>
    <row r="810">
      <c r="A810" s="11" t="n">
        <v>45838</v>
      </c>
      <c r="B810" s="12" t="inlineStr">
        <is>
          <t>GB</t>
        </is>
      </c>
      <c r="C810" s="12" t="inlineStr">
        <is>
          <t>AR(1)</t>
        </is>
      </c>
      <c r="D810" s="13" t="n">
        <v>0</v>
      </c>
      <c r="E810" s="13" t="n">
        <v>-0.0414919562488678</v>
      </c>
      <c r="F810" s="13" t="n">
        <v>4.7</v>
      </c>
      <c r="G810" s="13">
        <f>D810+F810</f>
        <v/>
      </c>
      <c r="H810" s="13">
        <f>E810+F810</f>
        <v/>
      </c>
      <c r="I810" s="13">
        <f>ABS(D810-E810)</f>
        <v/>
      </c>
      <c r="J810" s="13">
        <f>(D810-E810)^2</f>
        <v/>
      </c>
      <c r="K810" s="14">
        <f>IF(ABS(G810)&lt;=1E-8,"",ABS((G810-H810)/G810))</f>
        <v/>
      </c>
    </row>
    <row r="811">
      <c r="A811" s="11" t="n">
        <v>45838</v>
      </c>
      <c r="B811" s="12" t="inlineStr">
        <is>
          <t>IT</t>
        </is>
      </c>
      <c r="C811" s="12" t="inlineStr">
        <is>
          <t>AR(1)</t>
        </is>
      </c>
      <c r="D811" s="13" t="n">
        <v>-0.5</v>
      </c>
      <c r="E811" s="13" t="n">
        <v>0.1757152735034885</v>
      </c>
      <c r="F811" s="13" t="n">
        <v>6.4</v>
      </c>
      <c r="G811" s="13">
        <f>D811+F811</f>
        <v/>
      </c>
      <c r="H811" s="13">
        <f>E811+F811</f>
        <v/>
      </c>
      <c r="I811" s="13">
        <f>ABS(D811-E811)</f>
        <v/>
      </c>
      <c r="J811" s="13">
        <f>(D811-E811)^2</f>
        <v/>
      </c>
      <c r="K811" s="14">
        <f>IF(ABS(G811)&lt;=1E-8,"",ABS((G811-H811)/G811))</f>
        <v/>
      </c>
    </row>
    <row r="812">
      <c r="A812" s="11" t="n">
        <v>45838</v>
      </c>
      <c r="B812" s="12" t="inlineStr">
        <is>
          <t>JP</t>
        </is>
      </c>
      <c r="C812" s="12" t="inlineStr">
        <is>
          <t>AR(1)</t>
        </is>
      </c>
      <c r="D812" s="13" t="n">
        <v>0</v>
      </c>
      <c r="E812" s="13" t="n">
        <v>0.015766303343165</v>
      </c>
      <c r="F812" s="13" t="n">
        <v>2.5</v>
      </c>
      <c r="G812" s="13">
        <f>D812+F812</f>
        <v/>
      </c>
      <c r="H812" s="13">
        <f>E812+F812</f>
        <v/>
      </c>
      <c r="I812" s="13">
        <f>ABS(D812-E812)</f>
        <v/>
      </c>
      <c r="J812" s="13">
        <f>(D812-E812)^2</f>
        <v/>
      </c>
      <c r="K812" s="14">
        <f>IF(ABS(G812)&lt;=1E-8,"",ABS((G812-H812)/G812))</f>
        <v/>
      </c>
    </row>
    <row r="813">
      <c r="A813" s="11" t="n">
        <v>45838</v>
      </c>
      <c r="B813" s="12" t="inlineStr">
        <is>
          <t>KR</t>
        </is>
      </c>
      <c r="C813" s="12" t="inlineStr">
        <is>
          <t>AR(1)</t>
        </is>
      </c>
      <c r="D813" s="13" t="n">
        <v>0</v>
      </c>
      <c r="E813" s="13" t="n">
        <v>0.0286395085635993</v>
      </c>
      <c r="F813" s="13" t="n">
        <v>2.7</v>
      </c>
      <c r="G813" s="13">
        <f>D813+F813</f>
        <v/>
      </c>
      <c r="H813" s="13">
        <f>E813+F813</f>
        <v/>
      </c>
      <c r="I813" s="13">
        <f>ABS(D813-E813)</f>
        <v/>
      </c>
      <c r="J813" s="13">
        <f>(D813-E813)^2</f>
        <v/>
      </c>
      <c r="K813" s="14">
        <f>IF(ABS(G813)&lt;=1E-8,"",ABS((G813-H813)/G813))</f>
        <v/>
      </c>
    </row>
    <row r="814">
      <c r="A814" s="11" t="n">
        <v>45838</v>
      </c>
      <c r="B814" s="12" t="inlineStr">
        <is>
          <t>US</t>
        </is>
      </c>
      <c r="C814" s="12" t="inlineStr">
        <is>
          <t>AR(1)</t>
        </is>
      </c>
      <c r="D814" s="13" t="n">
        <v>-0.2000000000000001</v>
      </c>
      <c r="E814" s="13" t="n">
        <v>-0.0862463243583604</v>
      </c>
      <c r="F814" s="13" t="n">
        <v>4.3</v>
      </c>
      <c r="G814" s="13">
        <f>D814+F814</f>
        <v/>
      </c>
      <c r="H814" s="13">
        <f>E814+F814</f>
        <v/>
      </c>
      <c r="I814" s="13">
        <f>ABS(D814-E814)</f>
        <v/>
      </c>
      <c r="J814" s="13">
        <f>(D814-E814)^2</f>
        <v/>
      </c>
      <c r="K814" s="14">
        <f>IF(ABS(G814)&lt;=1E-8,"",ABS((G814-H814)/G814))</f>
        <v/>
      </c>
    </row>
    <row r="815">
      <c r="A815" s="11" t="n">
        <v>45869</v>
      </c>
      <c r="B815" s="12" t="inlineStr">
        <is>
          <t>AU</t>
        </is>
      </c>
      <c r="C815" s="12" t="inlineStr">
        <is>
          <t>AR(1)</t>
        </is>
      </c>
      <c r="D815" s="13" t="n">
        <v>-0.08211999999999969</v>
      </c>
      <c r="E815" s="13" t="n">
        <v>-0.0360524603995277</v>
      </c>
      <c r="F815" s="13" t="n">
        <v>4.317864</v>
      </c>
      <c r="G815" s="13">
        <f>D815+F815</f>
        <v/>
      </c>
      <c r="H815" s="13">
        <f>E815+F815</f>
        <v/>
      </c>
      <c r="I815" s="13">
        <f>ABS(D815-E815)</f>
        <v/>
      </c>
      <c r="J815" s="13">
        <f>(D815-E815)^2</f>
        <v/>
      </c>
      <c r="K815" s="14">
        <f>IF(ABS(G815)&lt;=1E-8,"",ABS((G815-H815)/G815))</f>
        <v/>
      </c>
    </row>
    <row r="816">
      <c r="A816" s="11" t="n">
        <v>45869</v>
      </c>
      <c r="B816" s="12" t="inlineStr">
        <is>
          <t>CA</t>
        </is>
      </c>
      <c r="C816" s="12" t="inlineStr">
        <is>
          <t>AR(1)</t>
        </is>
      </c>
      <c r="D816" s="13" t="n">
        <v>0</v>
      </c>
      <c r="E816" s="13" t="n">
        <v>-0.1248305259921815</v>
      </c>
      <c r="F816" s="13" t="n">
        <v>6.9</v>
      </c>
      <c r="G816" s="13">
        <f>D816+F816</f>
        <v/>
      </c>
      <c r="H816" s="13">
        <f>E816+F816</f>
        <v/>
      </c>
      <c r="I816" s="13">
        <f>ABS(D816-E816)</f>
        <v/>
      </c>
      <c r="J816" s="13">
        <f>(D816-E816)^2</f>
        <v/>
      </c>
      <c r="K816" s="14">
        <f>IF(ABS(G816)&lt;=1E-8,"",ABS((G816-H816)/G816))</f>
        <v/>
      </c>
    </row>
    <row r="817">
      <c r="A817" s="11" t="n">
        <v>45869</v>
      </c>
      <c r="B817" s="12" t="inlineStr">
        <is>
          <t>DE</t>
        </is>
      </c>
      <c r="C817" s="12" t="inlineStr">
        <is>
          <t>AR(1)</t>
        </is>
      </c>
      <c r="D817" s="13" t="n">
        <v>0.0999999999999996</v>
      </c>
      <c r="E817" s="13" t="n">
        <v>-0.035556968385595</v>
      </c>
      <c r="F817" s="13" t="n">
        <v>3.7</v>
      </c>
      <c r="G817" s="13">
        <f>D817+F817</f>
        <v/>
      </c>
      <c r="H817" s="13">
        <f>E817+F817</f>
        <v/>
      </c>
      <c r="I817" s="13">
        <f>ABS(D817-E817)</f>
        <v/>
      </c>
      <c r="J817" s="13">
        <f>(D817-E817)^2</f>
        <v/>
      </c>
      <c r="K817" s="14">
        <f>IF(ABS(G817)&lt;=1E-8,"",ABS((G817-H817)/G817))</f>
        <v/>
      </c>
    </row>
    <row r="818">
      <c r="A818" s="11" t="n">
        <v>45869</v>
      </c>
      <c r="B818" s="12" t="inlineStr">
        <is>
          <t>FR</t>
        </is>
      </c>
      <c r="C818" s="12" t="inlineStr">
        <is>
          <t>AR(1)</t>
        </is>
      </c>
      <c r="D818" s="13" t="n">
        <v>0</v>
      </c>
      <c r="E818" s="13" t="n">
        <v>-0.0066497912158813</v>
      </c>
      <c r="F818" s="13" t="n">
        <v>7.7</v>
      </c>
      <c r="G818" s="13">
        <f>D818+F818</f>
        <v/>
      </c>
      <c r="H818" s="13">
        <f>E818+F818</f>
        <v/>
      </c>
      <c r="I818" s="13">
        <f>ABS(D818-E818)</f>
        <v/>
      </c>
      <c r="J818" s="13">
        <f>(D818-E818)^2</f>
        <v/>
      </c>
      <c r="K818" s="14">
        <f>IF(ABS(G818)&lt;=1E-8,"",ABS((G818-H818)/G818))</f>
        <v/>
      </c>
    </row>
    <row r="819">
      <c r="A819" s="11" t="n">
        <v>45869</v>
      </c>
      <c r="B819" s="12" t="inlineStr">
        <is>
          <t>GB</t>
        </is>
      </c>
      <c r="C819" s="12" t="inlineStr">
        <is>
          <t>AR(1)</t>
        </is>
      </c>
      <c r="D819" s="13" t="n">
        <v>0.0999999999999996</v>
      </c>
      <c r="E819" s="13" t="n">
        <v>-0.0368333411843021</v>
      </c>
      <c r="F819" s="13" t="n">
        <v>4.7</v>
      </c>
      <c r="G819" s="13">
        <f>D819+F819</f>
        <v/>
      </c>
      <c r="H819" s="13">
        <f>E819+F819</f>
        <v/>
      </c>
      <c r="I819" s="13">
        <f>ABS(D819-E819)</f>
        <v/>
      </c>
      <c r="J819" s="13">
        <f>(D819-E819)^2</f>
        <v/>
      </c>
      <c r="K819" s="14">
        <f>IF(ABS(G819)&lt;=1E-8,"",ABS((G819-H819)/G819))</f>
        <v/>
      </c>
    </row>
    <row r="820">
      <c r="A820" s="11" t="n">
        <v>45869</v>
      </c>
      <c r="B820" s="12" t="inlineStr">
        <is>
          <t>IT</t>
        </is>
      </c>
      <c r="C820" s="12" t="inlineStr">
        <is>
          <t>AR(1)</t>
        </is>
      </c>
      <c r="D820" s="13" t="n">
        <v>0.0999999999999996</v>
      </c>
      <c r="E820" s="13" t="n">
        <v>0.1684065126265262</v>
      </c>
      <c r="F820" s="13" t="n">
        <v>5.9</v>
      </c>
      <c r="G820" s="13">
        <f>D820+F820</f>
        <v/>
      </c>
      <c r="H820" s="13">
        <f>E820+F820</f>
        <v/>
      </c>
      <c r="I820" s="13">
        <f>ABS(D820-E820)</f>
        <v/>
      </c>
      <c r="J820" s="13">
        <f>(D820-E820)^2</f>
        <v/>
      </c>
      <c r="K820" s="14">
        <f>IF(ABS(G820)&lt;=1E-8,"",ABS((G820-H820)/G820))</f>
        <v/>
      </c>
    </row>
    <row r="821">
      <c r="A821" s="11" t="n">
        <v>45869</v>
      </c>
      <c r="B821" s="12" t="inlineStr">
        <is>
          <t>JP</t>
        </is>
      </c>
      <c r="C821" s="12" t="inlineStr">
        <is>
          <t>AR(1)</t>
        </is>
      </c>
      <c r="D821" s="13" t="n">
        <v>-0.1</v>
      </c>
      <c r="E821" s="13" t="n">
        <v>0.0117686388713445</v>
      </c>
      <c r="F821" s="13" t="n">
        <v>2.5</v>
      </c>
      <c r="G821" s="13">
        <f>D821+F821</f>
        <v/>
      </c>
      <c r="H821" s="13">
        <f>E821+F821</f>
        <v/>
      </c>
      <c r="I821" s="13">
        <f>ABS(D821-E821)</f>
        <v/>
      </c>
      <c r="J821" s="13">
        <f>(D821-E821)^2</f>
        <v/>
      </c>
      <c r="K821" s="14">
        <f>IF(ABS(G821)&lt;=1E-8,"",ABS((G821-H821)/G821))</f>
        <v/>
      </c>
    </row>
    <row r="822">
      <c r="A822" s="11" t="n">
        <v>45869</v>
      </c>
      <c r="B822" s="12" t="inlineStr">
        <is>
          <t>KR</t>
        </is>
      </c>
      <c r="C822" s="12" t="inlineStr">
        <is>
          <t>AR(1)</t>
        </is>
      </c>
      <c r="D822" s="13" t="n">
        <v>0</v>
      </c>
      <c r="E822" s="13" t="n">
        <v>0.018245437089257</v>
      </c>
      <c r="F822" s="13" t="n">
        <v>2.7</v>
      </c>
      <c r="G822" s="13">
        <f>D822+F822</f>
        <v/>
      </c>
      <c r="H822" s="13">
        <f>E822+F822</f>
        <v/>
      </c>
      <c r="I822" s="13">
        <f>ABS(D822-E822)</f>
        <v/>
      </c>
      <c r="J822" s="13">
        <f>(D822-E822)^2</f>
        <v/>
      </c>
      <c r="K822" s="14">
        <f>IF(ABS(G822)&lt;=1E-8,"",ABS((G822-H822)/G822))</f>
        <v/>
      </c>
    </row>
    <row r="823">
      <c r="A823" s="11" t="n">
        <v>45869</v>
      </c>
      <c r="B823" s="12" t="inlineStr">
        <is>
          <t>US</t>
        </is>
      </c>
      <c r="C823" s="12" t="inlineStr">
        <is>
          <t>AR(1)</t>
        </is>
      </c>
      <c r="D823" s="13" t="n">
        <v>0.2000000000000001</v>
      </c>
      <c r="E823" s="13" t="n">
        <v>-0.0578101158493088</v>
      </c>
      <c r="F823" s="13" t="n">
        <v>4.1</v>
      </c>
      <c r="G823" s="13">
        <f>D823+F823</f>
        <v/>
      </c>
      <c r="H823" s="13">
        <f>E823+F823</f>
        <v/>
      </c>
      <c r="I823" s="13">
        <f>ABS(D823-E823)</f>
        <v/>
      </c>
      <c r="J823" s="13">
        <f>(D823-E823)^2</f>
        <v/>
      </c>
      <c r="K823" s="14">
        <f>IF(ABS(G823)&lt;=1E-8,"",ABS((G823-H823)/G823))</f>
        <v/>
      </c>
    </row>
    <row r="824">
      <c r="A824" s="11" t="n">
        <v>45900</v>
      </c>
      <c r="B824" s="12" t="inlineStr">
        <is>
          <t>AU</t>
        </is>
      </c>
      <c r="C824" s="12" t="inlineStr">
        <is>
          <t>AR(1)</t>
        </is>
      </c>
      <c r="D824" s="13" t="n">
        <v>0.008958999999999899</v>
      </c>
      <c r="E824" s="13" t="n">
        <v>-0.0358859010352152</v>
      </c>
      <c r="F824" s="13" t="n">
        <v>4.235744</v>
      </c>
      <c r="G824" s="13">
        <f>D824+F824</f>
        <v/>
      </c>
      <c r="H824" s="13">
        <f>E824+F824</f>
        <v/>
      </c>
      <c r="I824" s="13">
        <f>ABS(D824-E824)</f>
        <v/>
      </c>
      <c r="J824" s="13">
        <f>(D824-E824)^2</f>
        <v/>
      </c>
      <c r="K824" s="14">
        <f>IF(ABS(G824)&lt;=1E-8,"",ABS((G824-H824)/G824))</f>
        <v/>
      </c>
    </row>
    <row r="825">
      <c r="A825" s="11" t="n">
        <v>45900</v>
      </c>
      <c r="B825" s="12" t="inlineStr">
        <is>
          <t>CA</t>
        </is>
      </c>
      <c r="C825" s="12" t="inlineStr">
        <is>
          <t>AR(1)</t>
        </is>
      </c>
      <c r="D825" s="13" t="n">
        <v>0.1999999999999993</v>
      </c>
      <c r="E825" s="13" t="n">
        <v>-0.1033959793705169</v>
      </c>
      <c r="F825" s="13" t="n">
        <v>6.9</v>
      </c>
      <c r="G825" s="13">
        <f>D825+F825</f>
        <v/>
      </c>
      <c r="H825" s="13">
        <f>E825+F825</f>
        <v/>
      </c>
      <c r="I825" s="13">
        <f>ABS(D825-E825)</f>
        <v/>
      </c>
      <c r="J825" s="13">
        <f>(D825-E825)^2</f>
        <v/>
      </c>
      <c r="K825" s="14">
        <f>IF(ABS(G825)&lt;=1E-8,"",ABS((G825-H825)/G825))</f>
        <v/>
      </c>
    </row>
    <row r="826">
      <c r="A826" s="11" t="n">
        <v>45900</v>
      </c>
      <c r="B826" s="12" t="inlineStr">
        <is>
          <t>DE</t>
        </is>
      </c>
      <c r="C826" s="12" t="inlineStr">
        <is>
          <t>AR(1)</t>
        </is>
      </c>
      <c r="D826" s="13" t="n">
        <v>0</v>
      </c>
      <c r="E826" s="13" t="n">
        <v>-0.041117327938381</v>
      </c>
      <c r="F826" s="13" t="n">
        <v>3.8</v>
      </c>
      <c r="G826" s="13">
        <f>D826+F826</f>
        <v/>
      </c>
      <c r="H826" s="13">
        <f>E826+F826</f>
        <v/>
      </c>
      <c r="I826" s="13">
        <f>ABS(D826-E826)</f>
        <v/>
      </c>
      <c r="J826" s="13">
        <f>(D826-E826)^2</f>
        <v/>
      </c>
      <c r="K826" s="14">
        <f>IF(ABS(G826)&lt;=1E-8,"",ABS((G826-H826)/G826))</f>
        <v/>
      </c>
    </row>
    <row r="827">
      <c r="A827" s="11" t="n">
        <v>45900</v>
      </c>
      <c r="B827" s="12" t="inlineStr">
        <is>
          <t>FR</t>
        </is>
      </c>
      <c r="C827" s="12" t="inlineStr">
        <is>
          <t>AR(1)</t>
        </is>
      </c>
      <c r="D827" s="13" t="n">
        <v>0.0999999999999996</v>
      </c>
      <c r="E827" s="13" t="n">
        <v>-0.0252387022139051</v>
      </c>
      <c r="F827" s="13" t="n">
        <v>7.7</v>
      </c>
      <c r="G827" s="13">
        <f>D827+F827</f>
        <v/>
      </c>
      <c r="H827" s="13">
        <f>E827+F827</f>
        <v/>
      </c>
      <c r="I827" s="13">
        <f>ABS(D827-E827)</f>
        <v/>
      </c>
      <c r="J827" s="13">
        <f>(D827-E827)^2</f>
        <v/>
      </c>
      <c r="K827" s="14">
        <f>IF(ABS(G827)&lt;=1E-8,"",ABS((G827-H827)/G827))</f>
        <v/>
      </c>
    </row>
    <row r="828">
      <c r="A828" s="11" t="n">
        <v>45900</v>
      </c>
      <c r="B828" s="12" t="inlineStr">
        <is>
          <t>GB</t>
        </is>
      </c>
      <c r="C828" s="12" t="inlineStr">
        <is>
          <t>AR(1)</t>
        </is>
      </c>
      <c r="D828" s="13" t="n">
        <v>0.2000000000000001</v>
      </c>
      <c r="E828" s="13" t="n">
        <v>-0.044447276998224</v>
      </c>
      <c r="F828" s="13" t="n">
        <v>4.8</v>
      </c>
      <c r="G828" s="13">
        <f>D828+F828</f>
        <v/>
      </c>
      <c r="H828" s="13">
        <f>E828+F828</f>
        <v/>
      </c>
      <c r="I828" s="13">
        <f>ABS(D828-E828)</f>
        <v/>
      </c>
      <c r="J828" s="13">
        <f>(D828-E828)^2</f>
        <v/>
      </c>
      <c r="K828" s="14">
        <f>IF(ABS(G828)&lt;=1E-8,"",ABS((G828-H828)/G828))</f>
        <v/>
      </c>
    </row>
    <row r="829">
      <c r="A829" s="11" t="n">
        <v>45900</v>
      </c>
      <c r="B829" s="12" t="inlineStr">
        <is>
          <t>IT</t>
        </is>
      </c>
      <c r="C829" s="12" t="inlineStr">
        <is>
          <t>AR(1)</t>
        </is>
      </c>
      <c r="D829" s="13" t="n">
        <v>0</v>
      </c>
      <c r="E829" s="13" t="n">
        <v>0.1246978611469584</v>
      </c>
      <c r="F829" s="13" t="n">
        <v>6</v>
      </c>
      <c r="G829" s="13">
        <f>D829+F829</f>
        <v/>
      </c>
      <c r="H829" s="13">
        <f>E829+F829</f>
        <v/>
      </c>
      <c r="I829" s="13">
        <f>ABS(D829-E829)</f>
        <v/>
      </c>
      <c r="J829" s="13">
        <f>(D829-E829)^2</f>
        <v/>
      </c>
      <c r="K829" s="14">
        <f>IF(ABS(G829)&lt;=1E-8,"",ABS((G829-H829)/G829))</f>
        <v/>
      </c>
    </row>
    <row r="830">
      <c r="A830" s="11" t="n">
        <v>45900</v>
      </c>
      <c r="B830" s="12" t="inlineStr">
        <is>
          <t>JP</t>
        </is>
      </c>
      <c r="C830" s="12" t="inlineStr">
        <is>
          <t>AR(1)</t>
        </is>
      </c>
      <c r="D830" s="13" t="n">
        <v>0.2000000000000001</v>
      </c>
      <c r="E830" s="13" t="n">
        <v>0.0163695672462473</v>
      </c>
      <c r="F830" s="13" t="n">
        <v>2.4</v>
      </c>
      <c r="G830" s="13">
        <f>D830+F830</f>
        <v/>
      </c>
      <c r="H830" s="13">
        <f>E830+F830</f>
        <v/>
      </c>
      <c r="I830" s="13">
        <f>ABS(D830-E830)</f>
        <v/>
      </c>
      <c r="J830" s="13">
        <f>(D830-E830)^2</f>
        <v/>
      </c>
      <c r="K830" s="14">
        <f>IF(ABS(G830)&lt;=1E-8,"",ABS((G830-H830)/G830))</f>
        <v/>
      </c>
    </row>
    <row r="831">
      <c r="A831" s="11" t="n">
        <v>45900</v>
      </c>
      <c r="B831" s="12" t="inlineStr">
        <is>
          <t>KR</t>
        </is>
      </c>
      <c r="C831" s="12" t="inlineStr">
        <is>
          <t>AR(1)</t>
        </is>
      </c>
      <c r="D831" s="13" t="n">
        <v>0.0999999999999996</v>
      </c>
      <c r="E831" s="13" t="n">
        <v>0.0123793890348918</v>
      </c>
      <c r="F831" s="13" t="n">
        <v>2.7</v>
      </c>
      <c r="G831" s="13">
        <f>D831+F831</f>
        <v/>
      </c>
      <c r="H831" s="13">
        <f>E831+F831</f>
        <v/>
      </c>
      <c r="I831" s="13">
        <f>ABS(D831-E831)</f>
        <v/>
      </c>
      <c r="J831" s="13">
        <f>(D831-E831)^2</f>
        <v/>
      </c>
      <c r="K831" s="14">
        <f>IF(ABS(G831)&lt;=1E-8,"",ABS((G831-H831)/G831))</f>
        <v/>
      </c>
    </row>
    <row r="832">
      <c r="A832" s="11" t="n">
        <v>45900</v>
      </c>
      <c r="B832" s="12" t="inlineStr">
        <is>
          <t>US</t>
        </is>
      </c>
      <c r="C832" s="12" t="inlineStr">
        <is>
          <t>AR(1)</t>
        </is>
      </c>
      <c r="D832" s="13" t="n">
        <v>0</v>
      </c>
      <c r="E832" s="13" t="n">
        <v>-0.07639325716067941</v>
      </c>
      <c r="F832" s="13" t="n">
        <v>4.3</v>
      </c>
      <c r="G832" s="13">
        <f>D832+F832</f>
        <v/>
      </c>
      <c r="H832" s="13">
        <f>E832+F832</f>
        <v/>
      </c>
      <c r="I832" s="13">
        <f>ABS(D832-E832)</f>
        <v/>
      </c>
      <c r="J832" s="13">
        <f>(D832-E832)^2</f>
        <v/>
      </c>
      <c r="K832" s="14">
        <f>IF(ABS(G832)&lt;=1E-8,"",ABS((G832-H832)/G832))</f>
        <v/>
      </c>
    </row>
    <row r="833">
      <c r="A833" s="11" t="n">
        <v>45930</v>
      </c>
      <c r="B833" s="12" t="inlineStr">
        <is>
          <t>AU</t>
        </is>
      </c>
      <c r="C833" s="12" t="inlineStr">
        <is>
          <t>AR(1)</t>
        </is>
      </c>
      <c r="D833" s="13" t="n">
        <v>0.1929949999999998</v>
      </c>
      <c r="E833" s="13" t="n">
        <v>-0.0336742762865875</v>
      </c>
      <c r="F833" s="13" t="n">
        <v>4.244703</v>
      </c>
      <c r="G833" s="13">
        <f>D833+F833</f>
        <v/>
      </c>
      <c r="H833" s="13">
        <f>E833+F833</f>
        <v/>
      </c>
      <c r="I833" s="13">
        <f>ABS(D833-E833)</f>
        <v/>
      </c>
      <c r="J833" s="13">
        <f>(D833-E833)^2</f>
        <v/>
      </c>
      <c r="K833" s="14">
        <f>IF(ABS(G833)&lt;=1E-8,"",ABS((G833-H833)/G833))</f>
        <v/>
      </c>
    </row>
    <row r="834">
      <c r="A834" s="11" t="n">
        <v>45930</v>
      </c>
      <c r="B834" s="12" t="inlineStr">
        <is>
          <t>CA</t>
        </is>
      </c>
      <c r="C834" s="12" t="inlineStr">
        <is>
          <t>AR(1)</t>
        </is>
      </c>
      <c r="D834" s="13" t="n">
        <v>0</v>
      </c>
      <c r="E834" s="13" t="n">
        <v>-0.098605794098688</v>
      </c>
      <c r="F834" s="13" t="n">
        <v>7.1</v>
      </c>
      <c r="G834" s="13">
        <f>D834+F834</f>
        <v/>
      </c>
      <c r="H834" s="13">
        <f>E834+F834</f>
        <v/>
      </c>
      <c r="I834" s="13">
        <f>ABS(D834-E834)</f>
        <v/>
      </c>
      <c r="J834" s="13">
        <f>(D834-E834)^2</f>
        <v/>
      </c>
      <c r="K834" s="14">
        <f>IF(ABS(G834)&lt;=1E-8,"",ABS((G834-H834)/G834))</f>
        <v/>
      </c>
    </row>
    <row r="835">
      <c r="A835" s="11" t="n">
        <v>45930</v>
      </c>
      <c r="B835" s="12" t="inlineStr">
        <is>
          <t>DE</t>
        </is>
      </c>
      <c r="C835" s="12" t="inlineStr">
        <is>
          <t>AR(1)</t>
        </is>
      </c>
      <c r="D835" s="13" t="n">
        <v>0</v>
      </c>
      <c r="E835" s="13" t="n">
        <v>-0.0335248684981902</v>
      </c>
      <c r="F835" s="13" t="n">
        <v>3.8</v>
      </c>
      <c r="G835" s="13">
        <f>D835+F835</f>
        <v/>
      </c>
      <c r="H835" s="13">
        <f>E835+F835</f>
        <v/>
      </c>
      <c r="I835" s="13">
        <f>ABS(D835-E835)</f>
        <v/>
      </c>
      <c r="J835" s="13">
        <f>(D835-E835)^2</f>
        <v/>
      </c>
      <c r="K835" s="14">
        <f>IF(ABS(G835)&lt;=1E-8,"",ABS((G835-H835)/G835))</f>
        <v/>
      </c>
    </row>
    <row r="836">
      <c r="A836" s="11" t="n">
        <v>45930</v>
      </c>
      <c r="B836" s="12" t="inlineStr">
        <is>
          <t>FR</t>
        </is>
      </c>
      <c r="C836" s="12" t="inlineStr">
        <is>
          <t>AR(1)</t>
        </is>
      </c>
      <c r="D836" s="13" t="n">
        <v>0.1000000000000005</v>
      </c>
      <c r="E836" s="13" t="n">
        <v>-0.0382883371874614</v>
      </c>
      <c r="F836" s="13" t="n">
        <v>7.8</v>
      </c>
      <c r="G836" s="13">
        <f>D836+F836</f>
        <v/>
      </c>
      <c r="H836" s="13">
        <f>E836+F836</f>
        <v/>
      </c>
      <c r="I836" s="13">
        <f>ABS(D836-E836)</f>
        <v/>
      </c>
      <c r="J836" s="13">
        <f>(D836-E836)^2</f>
        <v/>
      </c>
      <c r="K836" s="14">
        <f>IF(ABS(G836)&lt;=1E-8,"",ABS((G836-H836)/G836))</f>
        <v/>
      </c>
    </row>
    <row r="837">
      <c r="A837" s="11" t="n">
        <v>45930</v>
      </c>
      <c r="B837" s="12" t="inlineStr">
        <is>
          <t>GB</t>
        </is>
      </c>
      <c r="C837" s="12" t="inlineStr">
        <is>
          <t>AR(1)</t>
        </is>
      </c>
      <c r="D837" s="13" t="n">
        <v>0.0999999999999996</v>
      </c>
      <c r="E837" s="13" t="n">
        <v>-0.0518797595042994</v>
      </c>
      <c r="F837" s="13" t="n">
        <v>5</v>
      </c>
      <c r="G837" s="13">
        <f>D837+F837</f>
        <v/>
      </c>
      <c r="H837" s="13">
        <f>E837+F837</f>
        <v/>
      </c>
      <c r="I837" s="13">
        <f>ABS(D837-E837)</f>
        <v/>
      </c>
      <c r="J837" s="13">
        <f>(D837-E837)^2</f>
        <v/>
      </c>
      <c r="K837" s="14">
        <f>IF(ABS(G837)&lt;=1E-8,"",ABS((G837-H837)/G837))</f>
        <v/>
      </c>
    </row>
    <row r="838">
      <c r="A838" s="11" t="n">
        <v>45930</v>
      </c>
      <c r="B838" s="12" t="inlineStr">
        <is>
          <t>IT</t>
        </is>
      </c>
      <c r="C838" s="12" t="inlineStr">
        <is>
          <t>AR(1)</t>
        </is>
      </c>
      <c r="D838" s="13" t="n">
        <v>0</v>
      </c>
      <c r="E838" s="13" t="n">
        <v>0.0772322054699926</v>
      </c>
      <c r="F838" s="13" t="n">
        <v>6</v>
      </c>
      <c r="G838" s="13">
        <f>D838+F838</f>
        <v/>
      </c>
      <c r="H838" s="13">
        <f>E838+F838</f>
        <v/>
      </c>
      <c r="I838" s="13">
        <f>ABS(D838-E838)</f>
        <v/>
      </c>
      <c r="J838" s="13">
        <f>(D838-E838)^2</f>
        <v/>
      </c>
      <c r="K838" s="14">
        <f>IF(ABS(G838)&lt;=1E-8,"",ABS((G838-H838)/G838))</f>
        <v/>
      </c>
    </row>
    <row r="839">
      <c r="A839" s="11" t="n">
        <v>45930</v>
      </c>
      <c r="B839" s="12" t="inlineStr">
        <is>
          <t>JP</t>
        </is>
      </c>
      <c r="C839" s="12" t="inlineStr">
        <is>
          <t>AR(1)</t>
        </is>
      </c>
      <c r="D839" s="13" t="n">
        <v>0</v>
      </c>
      <c r="E839" s="13" t="n">
        <v>-0.0032667795146858</v>
      </c>
      <c r="F839" s="13" t="n">
        <v>2.6</v>
      </c>
      <c r="G839" s="13">
        <f>D839+F839</f>
        <v/>
      </c>
      <c r="H839" s="13">
        <f>E839+F839</f>
        <v/>
      </c>
      <c r="I839" s="13">
        <f>ABS(D839-E839)</f>
        <v/>
      </c>
      <c r="J839" s="13">
        <f>(D839-E839)^2</f>
        <v/>
      </c>
      <c r="K839" s="14">
        <f>IF(ABS(G839)&lt;=1E-8,"",ABS((G839-H839)/G839))</f>
        <v/>
      </c>
    </row>
    <row r="840">
      <c r="A840" s="11" t="n">
        <v>45930</v>
      </c>
      <c r="B840" s="12" t="inlineStr">
        <is>
          <t>KR</t>
        </is>
      </c>
      <c r="C840" s="12" t="inlineStr">
        <is>
          <t>AR(1)</t>
        </is>
      </c>
      <c r="D840" s="13" t="n">
        <v>-0.0999999999999996</v>
      </c>
      <c r="E840" s="13" t="n">
        <v>0.0011845373539638</v>
      </c>
      <c r="F840" s="13" t="n">
        <v>2.8</v>
      </c>
      <c r="G840" s="13">
        <f>D840+F840</f>
        <v/>
      </c>
      <c r="H840" s="13">
        <f>E840+F840</f>
        <v/>
      </c>
      <c r="I840" s="13">
        <f>ABS(D840-E840)</f>
        <v/>
      </c>
      <c r="J840" s="13">
        <f>(D840-E840)^2</f>
        <v/>
      </c>
      <c r="K840" s="14">
        <f>IF(ABS(G840)&lt;=1E-8,"",ABS((G840-H840)/G840))</f>
        <v/>
      </c>
    </row>
    <row r="841">
      <c r="A841" s="11" t="n">
        <v>45930</v>
      </c>
      <c r="B841" s="12" t="inlineStr">
        <is>
          <t>US</t>
        </is>
      </c>
      <c r="C841" s="12" t="inlineStr">
        <is>
          <t>AR(1)</t>
        </is>
      </c>
      <c r="D841" s="13" t="n">
        <v>0.1000000000000005</v>
      </c>
      <c r="E841" s="13" t="n">
        <v>-0.0587632806092391</v>
      </c>
      <c r="F841" s="13" t="n">
        <v>4.3</v>
      </c>
      <c r="G841" s="13">
        <f>D841+F841</f>
        <v/>
      </c>
      <c r="H841" s="13">
        <f>E841+F841</f>
        <v/>
      </c>
      <c r="I841" s="13">
        <f>ABS(D841-E841)</f>
        <v/>
      </c>
      <c r="J841" s="13">
        <f>(D841-E841)^2</f>
        <v/>
      </c>
      <c r="K841" s="14">
        <f>IF(ABS(G841)&lt;=1E-8,"",ABS((G841-H841)/G841))</f>
        <v/>
      </c>
    </row>
    <row r="842">
      <c r="A842" s="11" t="n">
        <v>45961</v>
      </c>
      <c r="B842" s="12" t="inlineStr">
        <is>
          <t>AU</t>
        </is>
      </c>
      <c r="C842" s="12" t="inlineStr">
        <is>
          <t>AR(1)</t>
        </is>
      </c>
      <c r="D842" s="13" t="n">
        <v>-0.1061500000000004</v>
      </c>
      <c r="E842" s="13" t="n">
        <v>-0.0496932388031333</v>
      </c>
      <c r="F842" s="13" t="n">
        <v>4.437698</v>
      </c>
      <c r="G842" s="13">
        <f>D842+F842</f>
        <v/>
      </c>
      <c r="H842" s="13">
        <f>E842+F842</f>
        <v/>
      </c>
      <c r="I842" s="13">
        <f>ABS(D842-E842)</f>
        <v/>
      </c>
      <c r="J842" s="13">
        <f>(D842-E842)^2</f>
        <v/>
      </c>
      <c r="K842" s="14">
        <f>IF(ABS(G842)&lt;=1E-8,"",ABS((G842-H842)/G842))</f>
        <v/>
      </c>
    </row>
    <row r="843">
      <c r="A843" s="11" t="n">
        <v>45961</v>
      </c>
      <c r="B843" s="12" t="inlineStr">
        <is>
          <t>CA</t>
        </is>
      </c>
      <c r="C843" s="12" t="inlineStr">
        <is>
          <t>AR(1)</t>
        </is>
      </c>
      <c r="D843" s="13" t="n">
        <v>-0.1999999999999993</v>
      </c>
      <c r="E843" s="13" t="n">
        <v>-0.08145104103918931</v>
      </c>
      <c r="F843" s="13" t="n">
        <v>7.1</v>
      </c>
      <c r="G843" s="13">
        <f>D843+F843</f>
        <v/>
      </c>
      <c r="H843" s="13">
        <f>E843+F843</f>
        <v/>
      </c>
      <c r="I843" s="13">
        <f>ABS(D843-E843)</f>
        <v/>
      </c>
      <c r="J843" s="13">
        <f>(D843-E843)^2</f>
        <v/>
      </c>
      <c r="K843" s="14">
        <f>IF(ABS(G843)&lt;=1E-8,"",ABS((G843-H843)/G843))</f>
        <v/>
      </c>
    </row>
    <row r="844">
      <c r="A844" s="11" t="n">
        <v>45961</v>
      </c>
      <c r="B844" s="12" t="inlineStr">
        <is>
          <t>DE</t>
        </is>
      </c>
      <c r="C844" s="12" t="inlineStr">
        <is>
          <t>AR(1)</t>
        </is>
      </c>
      <c r="D844" s="13" t="n">
        <v>0.1</v>
      </c>
      <c r="E844" s="13" t="n">
        <v>-0.0293795619165562</v>
      </c>
      <c r="F844" s="13" t="n">
        <v>3.8</v>
      </c>
      <c r="G844" s="13">
        <f>D844+F844</f>
        <v/>
      </c>
      <c r="H844" s="13">
        <f>E844+F844</f>
        <v/>
      </c>
      <c r="I844" s="13">
        <f>ABS(D844-E844)</f>
        <v/>
      </c>
      <c r="J844" s="13">
        <f>(D844-E844)^2</f>
        <v/>
      </c>
      <c r="K844" s="14">
        <f>IF(ABS(G844)&lt;=1E-8,"",ABS((G844-H844)/G844))</f>
        <v/>
      </c>
    </row>
    <row r="845">
      <c r="A845" s="11" t="n">
        <v>45961</v>
      </c>
      <c r="B845" s="12" t="inlineStr">
        <is>
          <t>FR</t>
        </is>
      </c>
      <c r="C845" s="12" t="inlineStr">
        <is>
          <t>AR(1)</t>
        </is>
      </c>
      <c r="D845" s="13" t="n">
        <v>0.0999999999999996</v>
      </c>
      <c r="E845" s="13" t="n">
        <v>-0.0420451844864595</v>
      </c>
      <c r="F845" s="13" t="n">
        <v>7.9</v>
      </c>
      <c r="G845" s="13">
        <f>D845+F845</f>
        <v/>
      </c>
      <c r="H845" s="13">
        <f>E845+F845</f>
        <v/>
      </c>
      <c r="I845" s="13">
        <f>ABS(D845-E845)</f>
        <v/>
      </c>
      <c r="J845" s="13">
        <f>(D845-E845)^2</f>
        <v/>
      </c>
      <c r="K845" s="14">
        <f>IF(ABS(G845)&lt;=1E-8,"",ABS((G845-H845)/G845))</f>
        <v/>
      </c>
    </row>
    <row r="846">
      <c r="A846" s="11" t="n">
        <v>45961</v>
      </c>
      <c r="B846" s="12" t="inlineStr">
        <is>
          <t>GB</t>
        </is>
      </c>
      <c r="C846" s="12" t="inlineStr">
        <is>
          <t>AR(1)</t>
        </is>
      </c>
      <c r="D846" s="13" t="n">
        <v>0</v>
      </c>
      <c r="E846" s="13" t="n">
        <v>-0.0562617581021571</v>
      </c>
      <c r="F846" s="13" t="n">
        <v>5.1</v>
      </c>
      <c r="G846" s="13">
        <f>D846+F846</f>
        <v/>
      </c>
      <c r="H846" s="13">
        <f>E846+F846</f>
        <v/>
      </c>
      <c r="I846" s="13">
        <f>ABS(D846-E846)</f>
        <v/>
      </c>
      <c r="J846" s="13">
        <f>(D846-E846)^2</f>
        <v/>
      </c>
      <c r="K846" s="14">
        <f>IF(ABS(G846)&lt;=1E-8,"",ABS((G846-H846)/G846))</f>
        <v/>
      </c>
    </row>
    <row r="847">
      <c r="A847" s="11" t="n">
        <v>45961</v>
      </c>
      <c r="B847" s="12" t="inlineStr">
        <is>
          <t>IT</t>
        </is>
      </c>
      <c r="C847" s="12" t="inlineStr">
        <is>
          <t>AR(1)</t>
        </is>
      </c>
      <c r="D847" s="13" t="n">
        <v>-0.2000000000000001</v>
      </c>
      <c r="E847" s="13" t="n">
        <v>0.0623026700930192</v>
      </c>
      <c r="F847" s="13" t="n">
        <v>6</v>
      </c>
      <c r="G847" s="13">
        <f>D847+F847</f>
        <v/>
      </c>
      <c r="H847" s="13">
        <f>E847+F847</f>
        <v/>
      </c>
      <c r="I847" s="13">
        <f>ABS(D847-E847)</f>
        <v/>
      </c>
      <c r="J847" s="13">
        <f>(D847-E847)^2</f>
        <v/>
      </c>
      <c r="K847" s="14">
        <f>IF(ABS(G847)&lt;=1E-8,"",ABS((G847-H847)/G847))</f>
        <v/>
      </c>
    </row>
    <row r="848">
      <c r="A848" s="11" t="n">
        <v>45961</v>
      </c>
      <c r="B848" s="12" t="inlineStr">
        <is>
          <t>JP</t>
        </is>
      </c>
      <c r="C848" s="12" t="inlineStr">
        <is>
          <t>AR(1)</t>
        </is>
      </c>
      <c r="D848" s="13" t="n">
        <v>0</v>
      </c>
      <c r="E848" s="13" t="n">
        <v>-0.0040063126348524</v>
      </c>
      <c r="F848" s="13" t="n">
        <v>2.6</v>
      </c>
      <c r="G848" s="13">
        <f>D848+F848</f>
        <v/>
      </c>
      <c r="H848" s="13">
        <f>E848+F848</f>
        <v/>
      </c>
      <c r="I848" s="13">
        <f>ABS(D848-E848)</f>
        <v/>
      </c>
      <c r="J848" s="13">
        <f>(D848-E848)^2</f>
        <v/>
      </c>
      <c r="K848" s="14">
        <f>IF(ABS(G848)&lt;=1E-8,"",ABS((G848-H848)/G848))</f>
        <v/>
      </c>
    </row>
    <row r="849">
      <c r="A849" s="11" t="n">
        <v>45961</v>
      </c>
      <c r="B849" s="12" t="inlineStr">
        <is>
          <t>KR</t>
        </is>
      </c>
      <c r="C849" s="12" t="inlineStr">
        <is>
          <t>AR(1)</t>
        </is>
      </c>
      <c r="D849" s="13" t="n">
        <v>0</v>
      </c>
      <c r="E849" s="13" t="n">
        <v>-0.0014038164134744</v>
      </c>
      <c r="F849" s="13" t="n">
        <v>2.7</v>
      </c>
      <c r="G849" s="13">
        <f>D849+F849</f>
        <v/>
      </c>
      <c r="H849" s="13">
        <f>E849+F849</f>
        <v/>
      </c>
      <c r="I849" s="13">
        <f>ABS(D849-E849)</f>
        <v/>
      </c>
      <c r="J849" s="13">
        <f>(D849-E849)^2</f>
        <v/>
      </c>
      <c r="K849" s="14">
        <f>IF(ABS(G849)&lt;=1E-8,"",ABS((G849-H849)/G849))</f>
        <v/>
      </c>
    </row>
    <row r="850">
      <c r="A850" s="11" t="n">
        <v>45961</v>
      </c>
      <c r="B850" s="12" t="inlineStr">
        <is>
          <t>US</t>
        </is>
      </c>
      <c r="C850" s="12" t="inlineStr">
        <is>
          <t>AR(1)</t>
        </is>
      </c>
      <c r="D850" s="13" t="n">
        <v>0.0499999999999998</v>
      </c>
      <c r="E850" s="13" t="n">
        <v>-0.0595583558316821</v>
      </c>
      <c r="F850" s="13" t="n">
        <v>4.4</v>
      </c>
      <c r="G850" s="13">
        <f>D850+F850</f>
        <v/>
      </c>
      <c r="H850" s="13">
        <f>E850+F850</f>
        <v/>
      </c>
      <c r="I850" s="13">
        <f>ABS(D850-E850)</f>
        <v/>
      </c>
      <c r="J850" s="13">
        <f>(D850-E850)^2</f>
        <v/>
      </c>
      <c r="K850" s="14">
        <f>IF(ABS(G850)&lt;=1E-8,"",ABS((G850-H850)/G850))</f>
        <v/>
      </c>
    </row>
    <row r="851">
      <c r="A851" s="11" t="n">
        <v>45991</v>
      </c>
      <c r="B851" s="12" t="inlineStr">
        <is>
          <t>AU</t>
        </is>
      </c>
      <c r="C851" s="12" t="inlineStr">
        <is>
          <t>AR(1)</t>
        </is>
      </c>
      <c r="D851" s="13" t="n">
        <v>-0.0092359999999995</v>
      </c>
      <c r="E851" s="13" t="n">
        <v>-0.0470803997452533</v>
      </c>
      <c r="F851" s="13" t="n">
        <v>4.331548</v>
      </c>
      <c r="G851" s="13">
        <f>D851+F851</f>
        <v/>
      </c>
      <c r="H851" s="13">
        <f>E851+F851</f>
        <v/>
      </c>
      <c r="I851" s="13">
        <f>ABS(D851-E851)</f>
        <v/>
      </c>
      <c r="J851" s="13">
        <f>(D851-E851)^2</f>
        <v/>
      </c>
      <c r="K851" s="14">
        <f>IF(ABS(G851)&lt;=1E-8,"",ABS((G851-H851)/G851))</f>
        <v/>
      </c>
    </row>
    <row r="852">
      <c r="A852" s="11" t="n">
        <v>45991</v>
      </c>
      <c r="B852" s="12" t="inlineStr">
        <is>
          <t>CA</t>
        </is>
      </c>
      <c r="C852" s="12" t="inlineStr">
        <is>
          <t>AR(1)</t>
        </is>
      </c>
      <c r="D852" s="13" t="n">
        <v>-0.3000000000000007</v>
      </c>
      <c r="E852" s="13" t="n">
        <v>-0.0686539803915668</v>
      </c>
      <c r="F852" s="13" t="n">
        <v>6.9</v>
      </c>
      <c r="G852" s="13">
        <f>D852+F852</f>
        <v/>
      </c>
      <c r="H852" s="13">
        <f>E852+F852</f>
        <v/>
      </c>
      <c r="I852" s="13">
        <f>ABS(D852-E852)</f>
        <v/>
      </c>
      <c r="J852" s="13">
        <f>(D852-E852)^2</f>
        <v/>
      </c>
      <c r="K852" s="14">
        <f>IF(ABS(G852)&lt;=1E-8,"",ABS((G852-H852)/G852))</f>
        <v/>
      </c>
    </row>
    <row r="853">
      <c r="A853" s="11" t="n">
        <v>45991</v>
      </c>
      <c r="B853" s="12" t="inlineStr">
        <is>
          <t>DE</t>
        </is>
      </c>
      <c r="C853" s="12" t="inlineStr">
        <is>
          <t>AR(1)</t>
        </is>
      </c>
      <c r="D853" s="13" t="n">
        <v>0</v>
      </c>
      <c r="E853" s="13" t="n">
        <v>-0.0317743138490074</v>
      </c>
      <c r="F853" s="13" t="n">
        <v>3.9</v>
      </c>
      <c r="G853" s="13">
        <f>D853+F853</f>
        <v/>
      </c>
      <c r="H853" s="13">
        <f>E853+F853</f>
        <v/>
      </c>
      <c r="I853" s="13">
        <f>ABS(D853-E853)</f>
        <v/>
      </c>
      <c r="J853" s="13">
        <f>(D853-E853)^2</f>
        <v/>
      </c>
      <c r="K853" s="14">
        <f>IF(ABS(G853)&lt;=1E-8,"",ABS((G853-H853)/G853))</f>
        <v/>
      </c>
    </row>
    <row r="854">
      <c r="A854" s="11" t="n">
        <v>45991</v>
      </c>
      <c r="B854" s="12" t="inlineStr">
        <is>
          <t>FR</t>
        </is>
      </c>
      <c r="C854" s="12" t="inlineStr">
        <is>
          <t>AR(1)</t>
        </is>
      </c>
      <c r="D854" s="13" t="n">
        <v>0</v>
      </c>
      <c r="E854" s="13" t="n">
        <v>-0.0343939828736454</v>
      </c>
      <c r="F854" s="13" t="n">
        <v>8</v>
      </c>
      <c r="G854" s="13">
        <f>D854+F854</f>
        <v/>
      </c>
      <c r="H854" s="13">
        <f>E854+F854</f>
        <v/>
      </c>
      <c r="I854" s="13">
        <f>ABS(D854-E854)</f>
        <v/>
      </c>
      <c r="J854" s="13">
        <f>(D854-E854)^2</f>
        <v/>
      </c>
      <c r="K854" s="14">
        <f>IF(ABS(G854)&lt;=1E-8,"",ABS((G854-H854)/G854))</f>
        <v/>
      </c>
    </row>
    <row r="855">
      <c r="A855" s="11" t="n">
        <v>45991</v>
      </c>
      <c r="B855" s="12" t="inlineStr">
        <is>
          <t>GB</t>
        </is>
      </c>
      <c r="C855" s="12" t="inlineStr">
        <is>
          <t>AR(1)</t>
        </is>
      </c>
      <c r="D855" s="13" t="n">
        <v>0.1000000000000005</v>
      </c>
      <c r="E855" s="13" t="n">
        <v>-0.052041137316072</v>
      </c>
      <c r="F855" s="13" t="n">
        <v>5.1</v>
      </c>
      <c r="G855" s="13">
        <f>D855+F855</f>
        <v/>
      </c>
      <c r="H855" s="13">
        <f>E855+F855</f>
        <v/>
      </c>
      <c r="I855" s="13">
        <f>ABS(D855-E855)</f>
        <v/>
      </c>
      <c r="J855" s="13">
        <f>(D855-E855)^2</f>
        <v/>
      </c>
      <c r="K855" s="14">
        <f>IF(ABS(G855)&lt;=1E-8,"",ABS((G855-H855)/G855))</f>
        <v/>
      </c>
    </row>
    <row r="856">
      <c r="A856" s="11" t="n">
        <v>45991</v>
      </c>
      <c r="B856" s="12" t="inlineStr">
        <is>
          <t>IT</t>
        </is>
      </c>
      <c r="C856" s="12" t="inlineStr">
        <is>
          <t>AR(1)</t>
        </is>
      </c>
      <c r="D856" s="13" t="n">
        <v>-0.0999999999999996</v>
      </c>
      <c r="E856" s="13" t="n">
        <v>0.0572674258478647</v>
      </c>
      <c r="F856" s="13" t="n">
        <v>5.8</v>
      </c>
      <c r="G856" s="13">
        <f>D856+F856</f>
        <v/>
      </c>
      <c r="H856" s="13">
        <f>E856+F856</f>
        <v/>
      </c>
      <c r="I856" s="13">
        <f>ABS(D856-E856)</f>
        <v/>
      </c>
      <c r="J856" s="13">
        <f>(D856-E856)^2</f>
        <v/>
      </c>
      <c r="K856" s="14">
        <f>IF(ABS(G856)&lt;=1E-8,"",ABS((G856-H856)/G856))</f>
        <v/>
      </c>
    </row>
    <row r="857">
      <c r="A857" s="11" t="n">
        <v>45991</v>
      </c>
      <c r="B857" s="12" t="inlineStr">
        <is>
          <t>JP</t>
        </is>
      </c>
      <c r="C857" s="12" t="inlineStr">
        <is>
          <t>AR(1)</t>
        </is>
      </c>
      <c r="D857" s="13" t="n">
        <v>0</v>
      </c>
      <c r="E857" s="13" t="n">
        <v>-0.0063098345123237</v>
      </c>
      <c r="F857" s="13" t="n">
        <v>2.6</v>
      </c>
      <c r="G857" s="13">
        <f>D857+F857</f>
        <v/>
      </c>
      <c r="H857" s="13">
        <f>E857+F857</f>
        <v/>
      </c>
      <c r="I857" s="13">
        <f>ABS(D857-E857)</f>
        <v/>
      </c>
      <c r="J857" s="13">
        <f>(D857-E857)^2</f>
        <v/>
      </c>
      <c r="K857" s="14">
        <f>IF(ABS(G857)&lt;=1E-8,"",ABS((G857-H857)/G857))</f>
        <v/>
      </c>
    </row>
    <row r="858">
      <c r="A858" s="11" t="n">
        <v>45991</v>
      </c>
      <c r="B858" s="12" t="inlineStr">
        <is>
          <t>KR</t>
        </is>
      </c>
      <c r="C858" s="12" t="inlineStr">
        <is>
          <t>AR(1)</t>
        </is>
      </c>
      <c r="D858" s="13" t="n">
        <v>0.0999999999999996</v>
      </c>
      <c r="E858" s="13" t="n">
        <v>-0.0065381783944964</v>
      </c>
      <c r="F858" s="13" t="n">
        <v>2.7</v>
      </c>
      <c r="G858" s="13">
        <f>D858+F858</f>
        <v/>
      </c>
      <c r="H858" s="13">
        <f>E858+F858</f>
        <v/>
      </c>
      <c r="I858" s="13">
        <f>ABS(D858-E858)</f>
        <v/>
      </c>
      <c r="J858" s="13">
        <f>(D858-E858)^2</f>
        <v/>
      </c>
      <c r="K858" s="14">
        <f>IF(ABS(G858)&lt;=1E-8,"",ABS((G858-H858)/G858))</f>
        <v/>
      </c>
    </row>
    <row r="859">
      <c r="A859" s="11" t="n">
        <v>45991</v>
      </c>
      <c r="B859" s="12" t="inlineStr">
        <is>
          <t>US</t>
        </is>
      </c>
      <c r="C859" s="12" t="inlineStr">
        <is>
          <t>AR(1)</t>
        </is>
      </c>
      <c r="D859" s="13" t="n">
        <v>0.0499999999999998</v>
      </c>
      <c r="E859" s="13" t="n">
        <v>-0.0503118278107061</v>
      </c>
      <c r="F859" s="13" t="n">
        <v>4.45</v>
      </c>
      <c r="G859" s="13">
        <f>D859+F859</f>
        <v/>
      </c>
      <c r="H859" s="13">
        <f>E859+F859</f>
        <v/>
      </c>
      <c r="I859" s="13">
        <f>ABS(D859-E859)</f>
        <v/>
      </c>
      <c r="J859" s="13">
        <f>(D859-E859)^2</f>
        <v/>
      </c>
      <c r="K859" s="14">
        <f>IF(ABS(G859)&lt;=1E-8,"",ABS((G859-H859)/G859))</f>
        <v/>
      </c>
    </row>
    <row r="860">
      <c r="A860" s="11" t="n">
        <v>46022</v>
      </c>
      <c r="B860" s="12" t="inlineStr">
        <is>
          <t>AU</t>
        </is>
      </c>
      <c r="C860" s="12" t="inlineStr">
        <is>
          <t>AR(1)</t>
        </is>
      </c>
      <c r="D860" s="13" t="n">
        <v>-0.2041919999999999</v>
      </c>
      <c r="E860" s="13" t="n">
        <v>-0.0467124464028362</v>
      </c>
      <c r="F860" s="13" t="n">
        <v>4.322312</v>
      </c>
      <c r="G860" s="13">
        <f>D860+F860</f>
        <v/>
      </c>
      <c r="H860" s="13">
        <f>E860+F860</f>
        <v/>
      </c>
      <c r="I860" s="13">
        <f>ABS(D860-E860)</f>
        <v/>
      </c>
      <c r="J860" s="13">
        <f>(D860-E860)^2</f>
        <v/>
      </c>
      <c r="K860" s="14">
        <f>IF(ABS(G860)&lt;=1E-8,"",ABS((G860-H860)/G860))</f>
        <v/>
      </c>
    </row>
    <row r="861">
      <c r="A861" s="11" t="n">
        <v>46022</v>
      </c>
      <c r="B861" s="12" t="inlineStr">
        <is>
          <t>CA</t>
        </is>
      </c>
      <c r="C861" s="12" t="inlineStr">
        <is>
          <t>AR(1)</t>
        </is>
      </c>
      <c r="D861" s="13" t="n">
        <v>0.2000000000000001</v>
      </c>
      <c r="E861" s="13" t="n">
        <v>-0.0487703203474935</v>
      </c>
      <c r="F861" s="13" t="n">
        <v>6.6</v>
      </c>
      <c r="G861" s="13">
        <f>D861+F861</f>
        <v/>
      </c>
      <c r="H861" s="13">
        <f>E861+F861</f>
        <v/>
      </c>
      <c r="I861" s="13">
        <f>ABS(D861-E861)</f>
        <v/>
      </c>
      <c r="J861" s="13">
        <f>(D861-E861)^2</f>
        <v/>
      </c>
      <c r="K861" s="14">
        <f>IF(ABS(G861)&lt;=1E-8,"",ABS((G861-H861)/G861))</f>
        <v/>
      </c>
    </row>
    <row r="862">
      <c r="A862" s="11" t="n">
        <v>46022</v>
      </c>
      <c r="B862" s="12" t="inlineStr">
        <is>
          <t>DE</t>
        </is>
      </c>
      <c r="C862" s="12" t="inlineStr">
        <is>
          <t>AR(1)</t>
        </is>
      </c>
      <c r="D862" s="13" t="n">
        <v>0</v>
      </c>
      <c r="E862" s="13" t="n">
        <v>-0.0291089826036056</v>
      </c>
      <c r="F862" s="13" t="n">
        <v>3.9</v>
      </c>
      <c r="G862" s="13">
        <f>D862+F862</f>
        <v/>
      </c>
      <c r="H862" s="13">
        <f>E862+F862</f>
        <v/>
      </c>
      <c r="I862" s="13">
        <f>ABS(D862-E862)</f>
        <v/>
      </c>
      <c r="J862" s="13">
        <f>(D862-E862)^2</f>
        <v/>
      </c>
      <c r="K862" s="14">
        <f>IF(ABS(G862)&lt;=1E-8,"",ABS((G862-H862)/G862))</f>
        <v/>
      </c>
    </row>
    <row r="863">
      <c r="A863" s="11" t="n">
        <v>46022</v>
      </c>
      <c r="B863" s="12" t="inlineStr">
        <is>
          <t>FR</t>
        </is>
      </c>
      <c r="C863" s="12" t="inlineStr">
        <is>
          <t>AR(1)</t>
        </is>
      </c>
      <c r="D863" s="13" t="n">
        <v>0</v>
      </c>
      <c r="E863" s="13" t="n">
        <v>-0.0290992741631679</v>
      </c>
      <c r="F863" s="13" t="n">
        <v>8</v>
      </c>
      <c r="G863" s="13">
        <f>D863+F863</f>
        <v/>
      </c>
      <c r="H863" s="13">
        <f>E863+F863</f>
        <v/>
      </c>
      <c r="I863" s="13">
        <f>ABS(D863-E863)</f>
        <v/>
      </c>
      <c r="J863" s="13">
        <f>(D863-E863)^2</f>
        <v/>
      </c>
      <c r="K863" s="14">
        <f>IF(ABS(G863)&lt;=1E-8,"",ABS((G863-H863)/G863))</f>
        <v/>
      </c>
    </row>
    <row r="864">
      <c r="A864" s="11" t="n">
        <v>46022</v>
      </c>
      <c r="B864" s="12" t="inlineStr">
        <is>
          <t>GB</t>
        </is>
      </c>
      <c r="C864" s="12" t="inlineStr">
        <is>
          <t>AR(1)</t>
        </is>
      </c>
      <c r="D864" s="13" t="n">
        <v>0</v>
      </c>
      <c r="E864" s="13" t="n">
        <v>-0.0541720874664267</v>
      </c>
      <c r="F864" s="13" t="n">
        <v>5.2</v>
      </c>
      <c r="G864" s="13">
        <f>D864+F864</f>
        <v/>
      </c>
      <c r="H864" s="13">
        <f>E864+F864</f>
        <v/>
      </c>
      <c r="I864" s="13">
        <f>ABS(D864-E864)</f>
        <v/>
      </c>
      <c r="J864" s="13">
        <f>(D864-E864)^2</f>
        <v/>
      </c>
      <c r="K864" s="14">
        <f>IF(ABS(G864)&lt;=1E-8,"",ABS((G864-H864)/G864))</f>
        <v/>
      </c>
    </row>
    <row r="865">
      <c r="A865" s="11" t="n">
        <v>46022</v>
      </c>
      <c r="B865" s="12" t="inlineStr">
        <is>
          <t>IT</t>
        </is>
      </c>
      <c r="C865" s="12" t="inlineStr">
        <is>
          <t>AR(1)</t>
        </is>
      </c>
      <c r="D865" s="13" t="n">
        <v>-0.1000000000000005</v>
      </c>
      <c r="E865" s="13" t="n">
        <v>0.055934598183726</v>
      </c>
      <c r="F865" s="13" t="n">
        <v>5.7</v>
      </c>
      <c r="G865" s="13">
        <f>D865+F865</f>
        <v/>
      </c>
      <c r="H865" s="13">
        <f>E865+F865</f>
        <v/>
      </c>
      <c r="I865" s="13">
        <f>ABS(D865-E865)</f>
        <v/>
      </c>
      <c r="J865" s="13">
        <f>(D865-E865)^2</f>
        <v/>
      </c>
      <c r="K865" s="14">
        <f>IF(ABS(G865)&lt;=1E-8,"",ABS((G865-H865)/G865))</f>
        <v/>
      </c>
    </row>
    <row r="866">
      <c r="A866" s="11" t="n">
        <v>46022</v>
      </c>
      <c r="B866" s="12" t="inlineStr">
        <is>
          <t>JP</t>
        </is>
      </c>
      <c r="C866" s="12" t="inlineStr">
        <is>
          <t>AR(1)</t>
        </is>
      </c>
      <c r="D866" s="13" t="n">
        <v>0</v>
      </c>
      <c r="E866" s="13" t="n">
        <v>-0.0052901200539407</v>
      </c>
      <c r="F866" s="13" t="n">
        <v>2.6</v>
      </c>
      <c r="G866" s="13">
        <f>D866+F866</f>
        <v/>
      </c>
      <c r="H866" s="13">
        <f>E866+F866</f>
        <v/>
      </c>
      <c r="I866" s="13">
        <f>ABS(D866-E866)</f>
        <v/>
      </c>
      <c r="J866" s="13">
        <f>(D866-E866)^2</f>
        <v/>
      </c>
      <c r="K866" s="14">
        <f>IF(ABS(G866)&lt;=1E-8,"",ABS((G866-H866)/G866))</f>
        <v/>
      </c>
    </row>
    <row r="867">
      <c r="A867" s="11" t="n">
        <v>46022</v>
      </c>
      <c r="B867" s="12" t="inlineStr">
        <is>
          <t>KR</t>
        </is>
      </c>
      <c r="C867" s="12" t="inlineStr">
        <is>
          <t>AR(1)</t>
        </is>
      </c>
      <c r="D867" s="13" t="n">
        <v>0.5</v>
      </c>
      <c r="E867" s="13" t="n">
        <v>-0.010555969006794</v>
      </c>
      <c r="F867" s="13" t="n">
        <v>2.8</v>
      </c>
      <c r="G867" s="13">
        <f>D867+F867</f>
        <v/>
      </c>
      <c r="H867" s="13">
        <f>E867+F867</f>
        <v/>
      </c>
      <c r="I867" s="13">
        <f>ABS(D867-E867)</f>
        <v/>
      </c>
      <c r="J867" s="13">
        <f>(D867-E867)^2</f>
        <v/>
      </c>
      <c r="K867" s="14">
        <f>IF(ABS(G867)&lt;=1E-8,"",ABS((G867-H867)/G867))</f>
        <v/>
      </c>
    </row>
    <row r="868">
      <c r="A868" s="11" t="n">
        <v>46022</v>
      </c>
      <c r="B868" s="12" t="inlineStr">
        <is>
          <t>US</t>
        </is>
      </c>
      <c r="C868" s="12" t="inlineStr">
        <is>
          <t>AR(1)</t>
        </is>
      </c>
      <c r="D868" s="13" t="n">
        <v>-0.0999999999999996</v>
      </c>
      <c r="E868" s="13" t="n">
        <v>-0.0507762694471268</v>
      </c>
      <c r="F868" s="13" t="n">
        <v>4.5</v>
      </c>
      <c r="G868" s="13">
        <f>D868+F868</f>
        <v/>
      </c>
      <c r="H868" s="13">
        <f>E868+F868</f>
        <v/>
      </c>
      <c r="I868" s="13">
        <f>ABS(D868-E868)</f>
        <v/>
      </c>
      <c r="J868" s="13">
        <f>(D868-E868)^2</f>
        <v/>
      </c>
      <c r="K868" s="14">
        <f>IF(ABS(G868)&lt;=1E-8,"",ABS((G868-H868)/G868))</f>
        <v/>
      </c>
    </row>
  </sheetData>
  <mergeCells count="2">
    <mergeCell ref="A2:K2"/>
    <mergeCell ref="A1:K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2026-08-27T10:08:52Z</dcterms:created>
  <dcterms:modified xsi:type="dcterms:W3CDTF">2026-08-27T10:08:52Z</dcterms:modified>
</cp:coreProperties>
</file>